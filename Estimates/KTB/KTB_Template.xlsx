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03"/>
  <workbookPr defaultThemeVersion="124226"/>
  <mc:AlternateContent xmlns:mc="http://schemas.openxmlformats.org/markup-compatibility/2006">
    <mc:Choice Requires="x15">
      <x15ac:absPath xmlns:x15ac="http://schemas.microsoft.com/office/spreadsheetml/2010/11/ac" url="C:\Users\Swapnali\Desktop\Estimates\KTB_Estimates\"/>
    </mc:Choice>
  </mc:AlternateContent>
  <xr:revisionPtr revIDLastSave="0" documentId="13_ncr:1_{9A3CFD04-FAB8-43F5-87BC-80C4F19920C1}" xr6:coauthVersionLast="47" xr6:coauthVersionMax="47" xr10:uidLastSave="{00000000-0000-0000-0000-000000000000}"/>
  <bookViews>
    <workbookView xWindow="-120" yWindow="-120" windowWidth="29040" windowHeight="15720" tabRatio="719" firstSheet="1" activeTab="1" xr2:uid="{00000000-000D-0000-FFFF-FFFF00000000}"/>
  </bookViews>
  <sheets>
    <sheet name="SchB" sheetId="8" state="hidden" r:id="rId1"/>
    <sheet name="cover" sheetId="7" r:id="rId2"/>
    <sheet name="face sheet" sheetId="1" r:id="rId3"/>
    <sheet name="Recapitulation Sheet" sheetId="16" r:id="rId4"/>
    <sheet name="abst" sheetId="21" r:id="rId5"/>
    <sheet name="Measurement " sheetId="22" r:id="rId6"/>
    <sheet name="R.A1" sheetId="6" r:id="rId7"/>
  </sheets>
  <externalReferences>
    <externalReference r:id="rId8"/>
    <externalReference r:id="rId9"/>
    <externalReference r:id="rId10"/>
  </externalReferences>
  <definedNames>
    <definedName name="_xlnm.Print_Area" localSheetId="4">abst!$A$1:$F$24</definedName>
    <definedName name="_xlnm.Print_Area" localSheetId="2">'face sheet'!$A$1:$H$39</definedName>
    <definedName name="_xlnm.Print_Area" localSheetId="5">'Measurement '!$A$1:$I$98</definedName>
    <definedName name="_xlnm.Print_Area" localSheetId="6">'R.A1'!$A$1:$I$234</definedName>
    <definedName name="_xlnm.Print_Area" localSheetId="3">'Recapitulation Sheet'!$A$1:$E$44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64" i="22" l="1"/>
  <c r="A1" i="22"/>
  <c r="A1" i="6"/>
  <c r="B1" i="21"/>
  <c r="B8" i="16"/>
  <c r="B1" i="16"/>
  <c r="G64" i="22"/>
  <c r="E63" i="22"/>
  <c r="K8" i="22"/>
  <c r="F48" i="22"/>
  <c r="E33" i="22"/>
  <c r="D41" i="22" s="1"/>
  <c r="G41" i="22" s="1"/>
  <c r="G43" i="22" s="1"/>
  <c r="G44" i="22" s="1"/>
  <c r="B8" i="21" s="1"/>
  <c r="F8" i="21" s="1"/>
  <c r="D23" i="21"/>
  <c r="D24" i="21"/>
  <c r="D22" i="21"/>
  <c r="A2" i="8"/>
  <c r="B16" i="21"/>
  <c r="D33" i="22"/>
  <c r="H83" i="6"/>
  <c r="H176" i="6"/>
  <c r="H177" i="6"/>
  <c r="E178" i="6"/>
  <c r="D13" i="21"/>
  <c r="I175" i="6"/>
  <c r="I176" i="6"/>
  <c r="I177" i="6"/>
  <c r="H175" i="6"/>
  <c r="H162" i="6"/>
  <c r="I161" i="6"/>
  <c r="I162" i="6"/>
  <c r="I163" i="6"/>
  <c r="H161" i="6"/>
  <c r="H163" i="6"/>
  <c r="E164" i="6"/>
  <c r="D12" i="21"/>
  <c r="I155" i="6"/>
  <c r="I156" i="6"/>
  <c r="H155" i="6"/>
  <c r="I154" i="6"/>
  <c r="H154" i="6"/>
  <c r="H156" i="6"/>
  <c r="E157" i="6"/>
  <c r="D11" i="21"/>
  <c r="H140" i="6"/>
  <c r="I139" i="6"/>
  <c r="I140" i="6"/>
  <c r="I141" i="6"/>
  <c r="H139" i="6"/>
  <c r="H141" i="6"/>
  <c r="E142" i="6"/>
  <c r="D9" i="21"/>
  <c r="F9" i="21"/>
  <c r="H126" i="6"/>
  <c r="H125" i="6"/>
  <c r="H41" i="6"/>
  <c r="I40" i="6"/>
  <c r="I41" i="6"/>
  <c r="I42" i="6"/>
  <c r="H40" i="6"/>
  <c r="H25" i="6"/>
  <c r="H24" i="6"/>
  <c r="H26" i="6"/>
  <c r="E27" i="6"/>
  <c r="D5" i="21"/>
  <c r="H7" i="6"/>
  <c r="A83" i="22"/>
  <c r="H85" i="22"/>
  <c r="G85" i="22"/>
  <c r="G87" i="22"/>
  <c r="A53" i="22"/>
  <c r="B221" i="6"/>
  <c r="B83" i="22"/>
  <c r="H223" i="6"/>
  <c r="H224" i="6"/>
  <c r="E225" i="6"/>
  <c r="D16" i="21"/>
  <c r="F16" i="21"/>
  <c r="B53" i="22"/>
  <c r="A78" i="22"/>
  <c r="A73" i="22"/>
  <c r="A68" i="22"/>
  <c r="A46" i="22"/>
  <c r="A39" i="22"/>
  <c r="A31" i="22"/>
  <c r="A22" i="22"/>
  <c r="A14" i="22"/>
  <c r="A5" i="22"/>
  <c r="B190" i="6"/>
  <c r="I192" i="6"/>
  <c r="I193" i="6"/>
  <c r="H192" i="6"/>
  <c r="H193" i="6"/>
  <c r="E194" i="6"/>
  <c r="D14" i="21"/>
  <c r="B73" i="22"/>
  <c r="G76" i="22"/>
  <c r="B14" i="21"/>
  <c r="H95" i="6"/>
  <c r="H87" i="6"/>
  <c r="H86" i="6"/>
  <c r="H75" i="6"/>
  <c r="H76" i="6"/>
  <c r="H71" i="6"/>
  <c r="H68" i="6"/>
  <c r="H67" i="6"/>
  <c r="H66" i="6"/>
  <c r="H65" i="6"/>
  <c r="B14" i="22"/>
  <c r="H37" i="22"/>
  <c r="E7" i="21"/>
  <c r="B52" i="6"/>
  <c r="B31" i="22"/>
  <c r="D80" i="22"/>
  <c r="G80" i="22" s="1"/>
  <c r="G81" i="22" s="1"/>
  <c r="B15" i="21" s="1"/>
  <c r="F15" i="21" s="1"/>
  <c r="G57" i="22"/>
  <c r="G56" i="22"/>
  <c r="G58" i="22" s="1"/>
  <c r="G59" i="22" s="1"/>
  <c r="B11" i="21" s="1"/>
  <c r="F11" i="21" s="1"/>
  <c r="G63" i="22"/>
  <c r="G65" i="22" s="1"/>
  <c r="G66" i="22" s="1"/>
  <c r="H50" i="22"/>
  <c r="E9" i="21"/>
  <c r="D42" i="22"/>
  <c r="G42" i="22" s="1"/>
  <c r="D24" i="22"/>
  <c r="G24" i="22" s="1"/>
  <c r="G28" i="22" s="1"/>
  <c r="H10" i="22"/>
  <c r="G8" i="22"/>
  <c r="G10" i="22" s="1"/>
  <c r="A18" i="21"/>
  <c r="A92" i="22"/>
  <c r="C24" i="21"/>
  <c r="E98" i="22" s="1"/>
  <c r="C23" i="21"/>
  <c r="E97" i="22" s="1"/>
  <c r="C22" i="21"/>
  <c r="E96" i="22"/>
  <c r="A23" i="21"/>
  <c r="A98" i="22"/>
  <c r="B159" i="6"/>
  <c r="B152" i="6"/>
  <c r="G48" i="22"/>
  <c r="G50" i="22"/>
  <c r="B9" i="21"/>
  <c r="G17" i="22"/>
  <c r="G19" i="22" s="1"/>
  <c r="G20" i="22" s="1"/>
  <c r="B5" i="21" s="1"/>
  <c r="F5" i="21" s="1"/>
  <c r="H28" i="22"/>
  <c r="H29" i="22"/>
  <c r="B5" i="22"/>
  <c r="B204" i="6"/>
  <c r="B173" i="6"/>
  <c r="B151" i="6"/>
  <c r="B137" i="6"/>
  <c r="B123" i="6"/>
  <c r="B38" i="6"/>
  <c r="B22" i="6"/>
  <c r="B4" i="6"/>
  <c r="B68" i="22"/>
  <c r="B46" i="22"/>
  <c r="B39" i="22"/>
  <c r="B22" i="22"/>
  <c r="M19" i="22"/>
  <c r="A1" i="16"/>
  <c r="H206" i="6"/>
  <c r="H207" i="6"/>
  <c r="E208" i="6"/>
  <c r="D15" i="21"/>
  <c r="H6" i="6"/>
  <c r="E9" i="8"/>
  <c r="D9" i="8"/>
  <c r="C9" i="8"/>
  <c r="E8" i="8"/>
  <c r="D8" i="8"/>
  <c r="C8" i="8"/>
  <c r="E7" i="8"/>
  <c r="D7" i="8"/>
  <c r="C7" i="8"/>
  <c r="E6" i="8"/>
  <c r="D6" i="8"/>
  <c r="C6" i="8"/>
  <c r="E5" i="8"/>
  <c r="D5" i="8"/>
  <c r="C5" i="8"/>
  <c r="A7" i="8"/>
  <c r="A6" i="8"/>
  <c r="G6" i="8"/>
  <c r="A8" i="8"/>
  <c r="A9" i="8"/>
  <c r="G9" i="8"/>
  <c r="G8" i="8"/>
  <c r="G7" i="8"/>
  <c r="A5" i="8"/>
  <c r="B78" i="22"/>
  <c r="G5" i="8"/>
  <c r="G10" i="8"/>
  <c r="G11" i="8"/>
  <c r="H88" i="6"/>
  <c r="F89" i="6"/>
  <c r="H89" i="6"/>
  <c r="D89" i="6"/>
  <c r="H42" i="6"/>
  <c r="E43" i="6"/>
  <c r="D6" i="21"/>
  <c r="H69" i="6"/>
  <c r="H72" i="6"/>
  <c r="H77" i="6"/>
  <c r="H127" i="6"/>
  <c r="E128" i="6"/>
  <c r="D8" i="21"/>
  <c r="H8" i="6"/>
  <c r="E9" i="6"/>
  <c r="D4" i="21"/>
  <c r="H90" i="6"/>
  <c r="H91" i="6"/>
  <c r="H96" i="6"/>
  <c r="H98" i="6"/>
  <c r="H99" i="6"/>
  <c r="D90" i="6"/>
  <c r="H100" i="6"/>
  <c r="H101" i="6"/>
  <c r="H102" i="6"/>
  <c r="H105" i="6"/>
  <c r="H106" i="6"/>
  <c r="H108" i="6"/>
  <c r="H109" i="6"/>
  <c r="H110" i="6"/>
  <c r="E111" i="6"/>
  <c r="D7" i="21"/>
  <c r="F14" i="21"/>
  <c r="G33" i="22" l="1"/>
  <c r="F35" i="22" s="1"/>
  <c r="G35" i="22" s="1"/>
  <c r="G37" i="22" s="1"/>
  <c r="B7" i="21" s="1"/>
  <c r="F7" i="21" s="1"/>
  <c r="G70" i="22"/>
  <c r="G71" i="22" s="1"/>
  <c r="B13" i="21" s="1"/>
  <c r="F13" i="21" s="1"/>
  <c r="B12" i="21"/>
  <c r="F12" i="21" s="1"/>
  <c r="G12" i="22"/>
  <c r="B4" i="21" s="1"/>
  <c r="F4" i="21" s="1"/>
  <c r="F17" i="21" s="1"/>
  <c r="F18" i="21" s="1"/>
  <c r="C8" i="16" s="1"/>
  <c r="C12" i="16" s="1"/>
  <c r="C18" i="16" s="1"/>
  <c r="C20" i="16" s="1"/>
  <c r="H24" i="1" s="1"/>
  <c r="E12" i="22"/>
  <c r="F26" i="22"/>
  <c r="G26" i="22" s="1"/>
  <c r="G29" i="22" s="1"/>
  <c r="B6" i="21" s="1"/>
  <c r="F6" i="21" s="1"/>
  <c r="C16" i="16" l="1"/>
  <c r="C14" i="16"/>
</calcChain>
</file>

<file path=xl/sharedStrings.xml><?xml version="1.0" encoding="utf-8"?>
<sst xmlns="http://schemas.openxmlformats.org/spreadsheetml/2006/main" count="493" uniqueCount="250">
  <si>
    <t>ESTIMATE</t>
  </si>
  <si>
    <t>Sub Head</t>
  </si>
  <si>
    <t xml:space="preserve">Other Head               </t>
  </si>
  <si>
    <t xml:space="preserve">                                                  </t>
  </si>
  <si>
    <t xml:space="preserve">Service Head           </t>
  </si>
  <si>
    <t xml:space="preserve">Divisional Head        </t>
  </si>
  <si>
    <t>Administratively approved vide No.  ----------------------------------- Dated</t>
  </si>
  <si>
    <t>Technically Sanctioned vide No.    ----------------------------------- Dated</t>
  </si>
  <si>
    <t>General Description</t>
  </si>
  <si>
    <t>Total</t>
  </si>
  <si>
    <t>Quantity</t>
  </si>
  <si>
    <t>Unit</t>
  </si>
  <si>
    <t>Rate</t>
  </si>
  <si>
    <t>Amount</t>
  </si>
  <si>
    <t>m</t>
  </si>
  <si>
    <t>Item</t>
  </si>
  <si>
    <t>Depth</t>
  </si>
  <si>
    <t xml:space="preserve"> /sqm</t>
  </si>
  <si>
    <t>Say</t>
  </si>
  <si>
    <t>A B S T R A C T</t>
  </si>
  <si>
    <t>=</t>
  </si>
  <si>
    <t>Government of Maharashtra</t>
  </si>
  <si>
    <t>Water Resources Department</t>
  </si>
  <si>
    <t>Konkan Region, Mumbai</t>
  </si>
  <si>
    <t xml:space="preserve">DIVISION           </t>
  </si>
  <si>
    <t>Sanctioned Estimate No.</t>
  </si>
  <si>
    <t xml:space="preserve">Vide    </t>
  </si>
  <si>
    <t xml:space="preserve">for </t>
  </si>
  <si>
    <t xml:space="preserve">Capital Head            </t>
  </si>
  <si>
    <t xml:space="preserve">State </t>
  </si>
  <si>
    <t xml:space="preserve">Main Head              </t>
  </si>
  <si>
    <t>2702 Survey &amp; Investigation</t>
  </si>
  <si>
    <t>Survey &amp; Investigation</t>
  </si>
  <si>
    <t>Rate Analysis No 1</t>
  </si>
  <si>
    <t xml:space="preserve">Say </t>
  </si>
  <si>
    <t>SCHEDULE- 'B'</t>
  </si>
  <si>
    <t>Description of Item</t>
  </si>
  <si>
    <t>In Figures</t>
  </si>
  <si>
    <t>In Words</t>
  </si>
  <si>
    <t>Item No 1</t>
  </si>
  <si>
    <t>Rupees Four and Paise Ninety Five Only.</t>
  </si>
  <si>
    <t>Item No 2</t>
  </si>
  <si>
    <t>Rupees Two Thousand Eighty Three and Paise Fifteen Only.</t>
  </si>
  <si>
    <t>Item No 3</t>
  </si>
  <si>
    <t>Item No 4</t>
  </si>
  <si>
    <t>Item No 5</t>
  </si>
  <si>
    <t>Rupees Five Hundred Fifty Four and Paise Forty only</t>
  </si>
  <si>
    <t>Say   Rs.</t>
  </si>
  <si>
    <t>Rupees Fourteen Lakhs Seventy Eight Thousand Five Hundred Sixty Two only</t>
  </si>
  <si>
    <t>Rupees Eleven Thousand One Hundred Ten only</t>
  </si>
  <si>
    <t>Rupees One Thousand One Hundred Eighty Eight and Paise Seventy Five only</t>
  </si>
  <si>
    <t>Item No.1 :-</t>
  </si>
  <si>
    <t>Ha</t>
  </si>
  <si>
    <t>Item No.2 :-</t>
  </si>
  <si>
    <t>a</t>
  </si>
  <si>
    <t>b</t>
  </si>
  <si>
    <t>No.</t>
  </si>
  <si>
    <t>Item No.3 :-</t>
  </si>
  <si>
    <t>Km</t>
  </si>
  <si>
    <t>Item No.4 :-</t>
  </si>
  <si>
    <t>Item No.5 :-</t>
  </si>
  <si>
    <t>Hard rock</t>
  </si>
  <si>
    <t>Rmt</t>
  </si>
  <si>
    <t>Providing core box of MS of size size 1.25mx0.35mx0.15m for preserving core sample with all fixtures and fastening handles including locking arrangement etc. complete.</t>
  </si>
  <si>
    <t>pg 13</t>
  </si>
  <si>
    <t>Taking trial bore for detailed investigation with NX diamond drill double tube in all sorts of soil like soft murum, hard murum and boulders including all materials such as casing pipes, accessories, grease, steel boolsam and other such materials and or as required including conveying such materials and machinery to site of works, preserving the loose samples in glass/plastic jar and core samples serially numbered at site of work and conveying the same to the head quarter of concerned office as directed and submission of detailed bore log sheet complete.(As directed by the Engineer in charge)</t>
  </si>
  <si>
    <t>Engineer In charge including back filling trial</t>
  </si>
  <si>
    <t>Measurement Sheet</t>
  </si>
  <si>
    <t>L (m)</t>
  </si>
  <si>
    <t>B (m)</t>
  </si>
  <si>
    <t>Nos</t>
  </si>
  <si>
    <t>Sqm</t>
  </si>
  <si>
    <t>sqm</t>
  </si>
  <si>
    <t xml:space="preserve">= </t>
  </si>
  <si>
    <t>Qty in Km</t>
  </si>
  <si>
    <t>-</t>
  </si>
  <si>
    <t>Item No.6 :-</t>
  </si>
  <si>
    <t>Add 10% Tribal Charges</t>
  </si>
  <si>
    <t>Add 1 % for Labour Welfare Cess</t>
  </si>
  <si>
    <t>Grand Total</t>
  </si>
  <si>
    <t xml:space="preserve">Say Rs </t>
  </si>
  <si>
    <t>per Sqm</t>
  </si>
  <si>
    <t>Location</t>
  </si>
  <si>
    <t>TOTAL =</t>
  </si>
  <si>
    <t xml:space="preserve"> /Km</t>
  </si>
  <si>
    <t>per Km</t>
  </si>
  <si>
    <t>per Ha</t>
  </si>
  <si>
    <t xml:space="preserve">Length (m) </t>
  </si>
  <si>
    <t>Item No.7 :-</t>
  </si>
  <si>
    <t>Item No.8 :-</t>
  </si>
  <si>
    <t>Item No.9 :-</t>
  </si>
  <si>
    <t>per No.</t>
  </si>
  <si>
    <t xml:space="preserve"> /No.</t>
  </si>
  <si>
    <t>Qty in m</t>
  </si>
  <si>
    <t>Total no. of Bores =</t>
  </si>
  <si>
    <t>Item No.10 :-</t>
  </si>
  <si>
    <t>Item No.11 :-</t>
  </si>
  <si>
    <t>Qty in Nos</t>
  </si>
  <si>
    <t>One core box for every 6m of core</t>
  </si>
  <si>
    <t xml:space="preserve"> /Rmt</t>
  </si>
  <si>
    <t>per Rmt</t>
  </si>
  <si>
    <t xml:space="preserve">Total no of bores </t>
  </si>
  <si>
    <t>Shifting boring plant with all its components and reinstalling the same at the directed place including all its charges etc. complete.</t>
  </si>
  <si>
    <t xml:space="preserve"> ESTIMATE</t>
  </si>
  <si>
    <t xml:space="preserve">Estimate Checked By Shri  </t>
  </si>
  <si>
    <t>no</t>
  </si>
  <si>
    <t>Qty</t>
  </si>
  <si>
    <t xml:space="preserve"> /no</t>
  </si>
  <si>
    <t>per no</t>
  </si>
  <si>
    <t>X</t>
  </si>
  <si>
    <t xml:space="preserve"> /ha</t>
  </si>
  <si>
    <t>km</t>
  </si>
  <si>
    <t>Recapitulation Sheet</t>
  </si>
  <si>
    <t>Sr. No.</t>
  </si>
  <si>
    <t>Name of Sub-Estimate</t>
  </si>
  <si>
    <t>Amount (Rs.)</t>
  </si>
  <si>
    <t xml:space="preserve">Total Amount  (Rs.)   </t>
  </si>
  <si>
    <t xml:space="preserve">Add labour insurance 1%    </t>
  </si>
  <si>
    <t xml:space="preserve">Gross Total Amount  (Rs.)   </t>
  </si>
  <si>
    <t xml:space="preserve">Say  (Rs.)   </t>
  </si>
  <si>
    <t xml:space="preserve">                                             Estimated cost Rs. </t>
  </si>
  <si>
    <t>Estimate Prepared By Shri</t>
  </si>
  <si>
    <t>Rate as per SSR 2022-23, Pg 20, Item 1.55</t>
  </si>
  <si>
    <t xml:space="preserve">Add 18% GST  </t>
  </si>
  <si>
    <t>Cleaning grass and removal of rubbish upto a distance of 50 meters outside the periphery of the area as directed.</t>
  </si>
  <si>
    <t>Double levelling using Auto level to connect Geodetic Trignometrical survey, benchmark and establishing permanent benchmark at Dam site at place along the canal alignment, submergence and in command area etc. complete, as directed.(Excluding cost of B.M. structure)</t>
  </si>
  <si>
    <t>Providing permanent bench mark dressed stone of basalt, granite or gneiss of size 30CmX30CmX45Cm at least 15Cm below the ground and embedding it to a depth of 30Cm in grade M-15 in situ concrete of size 90CmX90CmX60Cm deep over 1M deep foundation concrete of grade M-10 including excavation, concrete, providing and fixing dressed stone and backfilling the pit up to ground level with sand etc complete. with all lifts as directed.</t>
  </si>
  <si>
    <t>Block contour survey of 10m x 10m grid (Not less than 121 raw data points distributed uniformly over a Hectare) for irrigation projects using digital state of art Total Station / DGPS, including transfer of entire data to computer system in different georeferential layer / themes using features of standard plotting Softwares compatible with canal irrigation system design Software packages including contour plotting at specified interval and scale. The test print of the drawing shall be approved by Engineer-in-charge and the same shall be delivered in a CD format as well as hard copy in six numbers.</t>
  </si>
  <si>
    <t>Carrying out line survey with digital state of art Total Station for fixing FRL/ HFL including C/s survey with levels at 20 m interval /survey for 'L' section of alternative Dam site OR 'L' section of river 1 Km u/s OR 1 Km D/s of alternative Dam site etc complete including station, including transfer of entire data to computer system in different georeferential layer /the mesusing features of standard plotting Softwares compatible with canal irrigation system design Softwares packages including contour plotting at specified interval and scale. The test print of the drawing shall be approved by Engineer -in- charge and the same shall be delivered in a CD format as well as hard copy in six numbers including one print on tracing paper as directed.</t>
  </si>
  <si>
    <t>Carrying BM</t>
  </si>
  <si>
    <t>B.M. structure</t>
  </si>
  <si>
    <t>Name of work-</t>
  </si>
  <si>
    <t>Prepared by</t>
  </si>
  <si>
    <t>Asst Engineer Gr II</t>
  </si>
  <si>
    <t>Sub Divisional Engineer</t>
  </si>
  <si>
    <t>Executive Engineer</t>
  </si>
  <si>
    <t>Overburden (Soil of all sort, soft murum, hard murum, boulder and soft rock)</t>
  </si>
  <si>
    <t>Both side of river</t>
  </si>
  <si>
    <t>Submergence area</t>
  </si>
  <si>
    <t>1/10000</t>
  </si>
  <si>
    <t>Weir line with alternate alignment</t>
  </si>
  <si>
    <t>Along river length</t>
  </si>
  <si>
    <t>1 at Weir site, 1 at Submergence</t>
  </si>
  <si>
    <t>Alignments</t>
  </si>
  <si>
    <t>No of bores</t>
  </si>
  <si>
    <t>Block contour survey of 10m x 10m grid, using Differential Global Position System (DGPS) instrument including labour, transportation, using sounding by boat in river water in wet condition and transfer of entire data to computer system in different georeferential layers/ themes using features of standard plotting software computable with design software package including contour plotting at required interval and at a scale and following deliverables etc. all complete as directed.</t>
  </si>
  <si>
    <t>Increase 25% of submergence for HFL (of total area)</t>
  </si>
  <si>
    <t>Hence Submergence area in dry=</t>
  </si>
  <si>
    <t>Total=</t>
  </si>
  <si>
    <t>Assumptions:</t>
  </si>
  <si>
    <t>As per field experience, 1 survey party including 1 Civil Engr., 1 surveyor &amp; 5 labours record carryout approximately 12.0 Km. survey/day</t>
  </si>
  <si>
    <t>For Area = 100 X 100m = 1 Ha.</t>
  </si>
  <si>
    <t>No. of C/s at every 10m = (100/10)+1=11 Nos.</t>
  </si>
  <si>
    <t>11 Km. line survey = 1 Ha.</t>
  </si>
  <si>
    <t xml:space="preserve">Linear progress per day with level at every 10m is = 12.0Km </t>
  </si>
  <si>
    <t>Therefore 12.0 Km. line survey Thus daily output = 1.32 Ha. = 1/11 x 12.0 = 1.32 Ha.</t>
  </si>
  <si>
    <t>Thus daily output = 1.32Ha.</t>
  </si>
  <si>
    <t>Cost of one day survey work with labour charges of team mentioned as above and other allied charges.</t>
  </si>
  <si>
    <t>A)</t>
  </si>
  <si>
    <t>Survey Party</t>
  </si>
  <si>
    <t>Technical Staff</t>
  </si>
  <si>
    <t>1)</t>
  </si>
  <si>
    <t>Civil Engineer</t>
  </si>
  <si>
    <t>Day</t>
  </si>
  <si>
    <t>2)</t>
  </si>
  <si>
    <t>Civil Engineer Asst.</t>
  </si>
  <si>
    <t>3)</t>
  </si>
  <si>
    <t>4)</t>
  </si>
  <si>
    <t>Labour</t>
  </si>
  <si>
    <t>Mazdoor Unskilled light</t>
  </si>
  <si>
    <t>Total (A)</t>
  </si>
  <si>
    <t>B)</t>
  </si>
  <si>
    <t>For Plotting Work</t>
  </si>
  <si>
    <t>Cad Operator</t>
  </si>
  <si>
    <t>Total (B)</t>
  </si>
  <si>
    <t>Total For Labour (A+B)</t>
  </si>
  <si>
    <t>C)</t>
  </si>
  <si>
    <t>Tracing film</t>
  </si>
  <si>
    <t>A0 Size Sheet No</t>
  </si>
  <si>
    <t>One test print + 5 prints</t>
  </si>
  <si>
    <t>Rs. 20 per No.</t>
  </si>
  <si>
    <t>Compilation &amp; Submission of Field data in hard format for record</t>
  </si>
  <si>
    <t xml:space="preserve">Total (C) </t>
  </si>
  <si>
    <t>D)</t>
  </si>
  <si>
    <t>Equipments</t>
  </si>
  <si>
    <t>Total station (cost excluding GST @ 28%)</t>
  </si>
  <si>
    <t>Steel tapes (cost excluding GST @ 28%)</t>
  </si>
  <si>
    <t>Toatl (D)</t>
  </si>
  <si>
    <t>E)</t>
  </si>
  <si>
    <t>Transport</t>
  </si>
  <si>
    <t>Transport charges for survey instrument and survey party Assum 10 Km. lead @ Rs. 10/Km. (2 X 10 X 10)</t>
  </si>
  <si>
    <t xml:space="preserve">Total (E) </t>
  </si>
  <si>
    <t>Total (A+B+C+D+E)</t>
  </si>
  <si>
    <t>F)</t>
  </si>
  <si>
    <t>Labour Amenities</t>
  </si>
  <si>
    <t>Sub Total</t>
  </si>
  <si>
    <t>G)</t>
  </si>
  <si>
    <t>Add 20% For Contractors Profit &amp; Overhead Charges</t>
  </si>
  <si>
    <t>H)</t>
  </si>
  <si>
    <t>Total cost of one day survey</t>
  </si>
  <si>
    <t>One day survey cost =</t>
  </si>
  <si>
    <t>Task work per day in Km.</t>
  </si>
  <si>
    <t>Task work per day in Ha.</t>
  </si>
  <si>
    <t>Rate per Ha.</t>
  </si>
  <si>
    <t>Say Rs.</t>
  </si>
  <si>
    <t xml:space="preserve">Providing and maintaining temparory platform for erecting boring machine in river bed to the depth of standing water 2 m and above and of size 3.50 x 4.00 M by using 20 Nos. of M.S. empty barrels in M.S. frame made of M.S. angle size 50 x 50 x 5 mm with fabrication and over it in jungle wood planks platform of size 3.50 x 4.00 x 0.03 M size including supplying of nylon rope 24 mm dia. for anchoring platform include passage platform and engaging a labour etc. complete. 2 m and above.
</t>
  </si>
  <si>
    <t>Total No of Platforms</t>
  </si>
  <si>
    <t>Item No</t>
  </si>
  <si>
    <t>Providing detailed geological reports of proposed site by maintaining geotechnical investigation of structure stratification collecting soil, rock and ground water samples for laboratory tests to arrive the foundation design parameters . Rock properties such as type of rock, jointing fractures, etc. complete with suggestion about the site foundation and remedies.</t>
  </si>
  <si>
    <t>Rate as per SSR 2022-23, Pg 20, Item 1.57</t>
  </si>
  <si>
    <t>Rate as per CSR 2023-24, Pg 64, Item MR4</t>
  </si>
  <si>
    <t>Rate as per CSR 2023-24, Pg 46, Item SI1</t>
  </si>
  <si>
    <t>Rate as per CSR 2023-24, Pg 46, Item SI2</t>
  </si>
  <si>
    <t>Rate as per CSR 2023-24, Pg 45, Item SI8</t>
  </si>
  <si>
    <t>Rate as per CSR 2023-24, Pg 48, Item SI11</t>
  </si>
  <si>
    <t>Rate as per CSR 2023-24, Pg 49, Item SI14 b</t>
  </si>
  <si>
    <t>Rate as per CSR 2023-24, Pg 49, Item SI14 a</t>
  </si>
  <si>
    <t>Rate as per CSR 2023-24, Pg 49, Item SI15</t>
  </si>
  <si>
    <t>Basic Rate (as per PWD SSR 2022-23, Pg 19, Item 1.52)</t>
  </si>
  <si>
    <t>Operator for Sco sound in water body Rs. 650.00/day</t>
  </si>
  <si>
    <t>Boat &amp; Boat Operator Rent Rs. 650/day</t>
  </si>
  <si>
    <t>Hence Submergence area in Wet=</t>
  </si>
  <si>
    <t>Junior Engineer</t>
  </si>
  <si>
    <t xml:space="preserve"> </t>
  </si>
  <si>
    <t>{{Division}}</t>
  </si>
  <si>
    <r>
      <t>Carrying out survey and investigation for KT weir on {{River}} River</t>
    </r>
    <r>
      <rPr>
        <b/>
        <sz val="13"/>
        <rFont val="Times New Roman"/>
        <family val="1"/>
      </rPr>
      <t xml:space="preserve"> of  near</t>
    </r>
    <r>
      <rPr>
        <b/>
        <sz val="13"/>
        <color indexed="8"/>
        <rFont val="Times New Roman"/>
        <family val="1"/>
      </rPr>
      <t xml:space="preserve"> {{Village}}</t>
    </r>
    <r>
      <rPr>
        <b/>
        <sz val="13"/>
        <color indexed="10"/>
        <rFont val="Times New Roman"/>
        <family val="1"/>
      </rPr>
      <t xml:space="preserve"> </t>
    </r>
    <r>
      <rPr>
        <b/>
        <sz val="13"/>
        <rFont val="Times New Roman"/>
        <family val="1"/>
      </rPr>
      <t>village</t>
    </r>
    <r>
      <rPr>
        <b/>
        <sz val="13"/>
        <color indexed="8"/>
        <rFont val="Times New Roman"/>
        <family val="1"/>
      </rPr>
      <t xml:space="preserve"> Tal. </t>
    </r>
    <r>
      <rPr>
        <b/>
        <sz val="13"/>
        <color indexed="8"/>
        <rFont val="Times New Roman"/>
        <family val="1"/>
      </rPr>
      <t>{{Taluka}}</t>
    </r>
    <r>
      <rPr>
        <b/>
        <sz val="13"/>
        <color indexed="8"/>
        <rFont val="Times New Roman"/>
        <family val="1"/>
      </rPr>
      <t xml:space="preserve"> Dist. {{District}}</t>
    </r>
  </si>
  <si>
    <t>{{L}}</t>
  </si>
  <si>
    <t>Considering {{I_P}}% Intensity =</t>
  </si>
  <si>
    <t>{{I_F}}</t>
  </si>
  <si>
    <t>{{B}}</t>
  </si>
  <si>
    <t>A) For Overburdon ({{B_R}} bores in river and {{B_B}} on banks)</t>
  </si>
  <si>
    <t>B) For Hard Rock other than quartzite ({{B_R}} bores in river and {{B_B}} on banks)</t>
  </si>
  <si>
    <t>{{B_R}}</t>
  </si>
  <si>
    <t>{{B_B}}</t>
  </si>
  <si>
    <t>{{O_R_D}}</t>
  </si>
  <si>
    <t>{{O_B_D}}</t>
  </si>
  <si>
    <t>{{H_R_D}}</t>
  </si>
  <si>
    <t>{{H_B_D}}</t>
  </si>
  <si>
    <t>{{Sub_Division}}</t>
  </si>
  <si>
    <t>{{SDE_1}}</t>
  </si>
  <si>
    <t>{{SDE_2}}</t>
  </si>
  <si>
    <t>{{EE_1}}</t>
  </si>
  <si>
    <t>{{EE_2}}</t>
  </si>
  <si>
    <t>{{BM_L}}</t>
  </si>
  <si>
    <t>Estimate Prepared in the Office of the Executive Engineer, {{Division}} For the Probable expenses to be incurred for Carrying out survey and investigation for KT weir on {{River}} of  near {{Village}} village Tal. {{Taluka}} Dist. {{District}}</t>
  </si>
  <si>
    <t>Considering {{Dry_Area}}% area is in dry as there is continuous water.</t>
  </si>
  <si>
    <t>{{Dry_Area}}%</t>
  </si>
  <si>
    <t>{{Wet_Area}}%</t>
  </si>
  <si>
    <t xml:space="preserve">Considering {{Wet_Area}}% area is in Wet as there is continuous water </t>
  </si>
  <si>
    <t>{{Circle}}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</si>
</sst>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000"/>
    <numFmt numFmtId="167" formatCode="0.00_);\(0.00\)"/>
  </numFmts>
  <fonts count="41">
    <font>
      <sz val="10"/>
      <name val="Arial"/>
    </font>
    <font>
      <sz val="10"/>
      <name val="Arial"/>
      <family val="2"/>
    </font>
    <font>
      <sz val="10"/>
      <name val="Book Antiqua"/>
      <family val="1"/>
    </font>
    <font>
      <sz val="12"/>
      <name val="Book Antiqua"/>
      <family val="1"/>
    </font>
    <font>
      <b/>
      <sz val="10"/>
      <name val="Book Antiqua"/>
      <family val="1"/>
    </font>
    <font>
      <sz val="8"/>
      <name val="Arial"/>
      <family val="2"/>
    </font>
    <font>
      <sz val="10"/>
      <name val="Arial"/>
      <family val="2"/>
    </font>
    <font>
      <b/>
      <sz val="16"/>
      <name val="Book Antiqua"/>
      <family val="1"/>
    </font>
    <font>
      <sz val="16"/>
      <name val="Arial"/>
      <family val="2"/>
    </font>
    <font>
      <sz val="9.5"/>
      <name val="Book Antiqua"/>
      <family val="1"/>
    </font>
    <font>
      <sz val="12"/>
      <name val="Arial"/>
      <family val="2"/>
    </font>
    <font>
      <b/>
      <sz val="13"/>
      <color indexed="8"/>
      <name val="Times New Roman"/>
      <family val="1"/>
    </font>
    <font>
      <b/>
      <sz val="13"/>
      <color indexed="10"/>
      <name val="Times New Roman"/>
      <family val="1"/>
    </font>
    <font>
      <b/>
      <sz val="13"/>
      <name val="Times New Roman"/>
      <family val="1"/>
    </font>
    <font>
      <sz val="12"/>
      <color rgb="FF000000"/>
      <name val="Times New Roman"/>
      <family val="1"/>
    </font>
    <font>
      <sz val="12"/>
      <color theme="1"/>
      <name val="Times New Roman"/>
      <family val="1"/>
    </font>
    <font>
      <b/>
      <sz val="12"/>
      <color theme="1"/>
      <name val="Times New Roman"/>
      <family val="1"/>
    </font>
    <font>
      <b/>
      <sz val="10"/>
      <color theme="1"/>
      <name val="Book Antiqua"/>
      <family val="1"/>
    </font>
    <font>
      <sz val="10"/>
      <color theme="1"/>
      <name val="Times New Roman"/>
      <family val="1"/>
    </font>
    <font>
      <u/>
      <sz val="10"/>
      <color theme="1"/>
      <name val="Book Antiqua"/>
      <family val="1"/>
    </font>
    <font>
      <sz val="10"/>
      <color theme="1"/>
      <name val="Book Antiqua"/>
      <family val="1"/>
    </font>
    <font>
      <b/>
      <sz val="10"/>
      <color theme="1"/>
      <name val="Arial"/>
      <family val="2"/>
    </font>
    <font>
      <b/>
      <sz val="13"/>
      <color theme="1"/>
      <name val="Times New Roman"/>
      <family val="1"/>
    </font>
    <font>
      <sz val="13"/>
      <color theme="1"/>
      <name val="Times New Roman"/>
      <family val="1"/>
    </font>
    <font>
      <sz val="14"/>
      <color theme="1"/>
      <name val="Times New Roman"/>
      <family val="1"/>
    </font>
    <font>
      <b/>
      <sz val="14"/>
      <color theme="1"/>
      <name val="Times New Roman"/>
      <family val="1"/>
    </font>
    <font>
      <b/>
      <sz val="12"/>
      <color theme="1"/>
      <name val="Book Antiqua"/>
      <family val="1"/>
    </font>
    <font>
      <sz val="12"/>
      <color theme="1"/>
      <name val="Book Antiqua"/>
      <family val="1"/>
    </font>
    <font>
      <b/>
      <sz val="12"/>
      <color theme="1"/>
      <name val="DVOT-SurekhMR"/>
    </font>
    <font>
      <b/>
      <sz val="20"/>
      <color theme="1"/>
      <name val="Times New Roman"/>
      <family val="1"/>
    </font>
    <font>
      <sz val="16"/>
      <color theme="1"/>
      <name val="Times New Roman"/>
      <family val="1"/>
    </font>
    <font>
      <b/>
      <sz val="15"/>
      <color theme="1"/>
      <name val="Book Antiqua"/>
      <family val="1"/>
    </font>
    <font>
      <sz val="12"/>
      <color rgb="FFFF0000"/>
      <name val="Times New Roman"/>
      <family val="1"/>
    </font>
    <font>
      <b/>
      <sz val="12"/>
      <color rgb="FF000000"/>
      <name val="Times New Roman"/>
      <family val="1"/>
    </font>
    <font>
      <b/>
      <u/>
      <sz val="16"/>
      <color rgb="FF000000"/>
      <name val="Times New Roman"/>
      <family val="1"/>
    </font>
    <font>
      <sz val="18"/>
      <color theme="1"/>
      <name val="Times New Roman"/>
      <family val="1"/>
    </font>
    <font>
      <sz val="9"/>
      <color theme="1"/>
      <name val="Book Antiqua"/>
      <family val="1"/>
    </font>
    <font>
      <b/>
      <u/>
      <sz val="12"/>
      <color theme="1"/>
      <name val="Book Antiqua"/>
      <family val="1"/>
    </font>
    <font>
      <sz val="8"/>
      <color theme="1"/>
      <name val="Book Antiqua"/>
      <family val="1"/>
    </font>
    <font>
      <b/>
      <u/>
      <sz val="12"/>
      <name val="Book Antiqua"/>
      <family val="1"/>
    </font>
    <font>
      <sz val="10"/>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6" fillId="0" borderId="0"/>
    <xf numFmtId="0" fontId="6" fillId="0" borderId="0"/>
    <xf numFmtId="0" fontId="3" fillId="0" borderId="0"/>
    <xf numFmtId="0" fontId="6" fillId="0" borderId="0"/>
    <xf numFmtId="0" fontId="3" fillId="0" borderId="0"/>
  </cellStyleXfs>
  <cellXfs count="339">
    <xf numFmtId="0" fontId="0" fillId="0" borderId="0" xfId="0"/>
    <xf numFmtId="0" fontId="2" fillId="0" borderId="1" xfId="6" applyFont="1" applyBorder="1" applyAlignment="1">
      <alignment horizontal="center"/>
    </xf>
    <xf numFmtId="0" fontId="2" fillId="0" borderId="0" xfId="6" applyFont="1" applyBorder="1"/>
    <xf numFmtId="2" fontId="2" fillId="0" borderId="0" xfId="6" applyNumberFormat="1" applyFont="1" applyBorder="1"/>
    <xf numFmtId="2" fontId="2" fillId="0" borderId="2" xfId="6" applyNumberFormat="1" applyFont="1" applyBorder="1"/>
    <xf numFmtId="0" fontId="4" fillId="0" borderId="1" xfId="6" applyFont="1" applyBorder="1"/>
    <xf numFmtId="0" fontId="4" fillId="0" borderId="0" xfId="6" applyFont="1" applyBorder="1"/>
    <xf numFmtId="0" fontId="4" fillId="0" borderId="0" xfId="6" applyFont="1" applyBorder="1" applyAlignment="1"/>
    <xf numFmtId="0" fontId="4" fillId="0" borderId="0" xfId="6" applyFont="1" applyBorder="1" applyAlignment="1">
      <alignment horizontal="left"/>
    </xf>
    <xf numFmtId="0" fontId="4" fillId="0" borderId="2" xfId="6" applyFont="1" applyBorder="1" applyAlignment="1">
      <alignment horizontal="left"/>
    </xf>
    <xf numFmtId="0" fontId="4" fillId="0" borderId="2" xfId="6" applyFont="1" applyBorder="1" applyAlignment="1"/>
    <xf numFmtId="2" fontId="2" fillId="0" borderId="2" xfId="6" applyNumberFormat="1" applyFont="1" applyBorder="1" applyAlignment="1">
      <alignment horizontal="center"/>
    </xf>
    <xf numFmtId="0" fontId="2" fillId="0" borderId="2" xfId="6" applyFont="1" applyBorder="1"/>
    <xf numFmtId="1" fontId="4" fillId="0" borderId="2" xfId="6" applyNumberFormat="1" applyFont="1" applyBorder="1" applyAlignment="1">
      <alignment horizontal="center"/>
    </xf>
    <xf numFmtId="1" fontId="4" fillId="0" borderId="0" xfId="6" applyNumberFormat="1" applyFont="1" applyBorder="1"/>
    <xf numFmtId="0" fontId="2" fillId="0" borderId="1" xfId="6" applyFont="1" applyBorder="1"/>
    <xf numFmtId="0" fontId="2" fillId="0" borderId="1" xfId="0" applyFont="1" applyBorder="1"/>
    <xf numFmtId="0" fontId="2" fillId="0" borderId="0"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0" xfId="0" applyFont="1"/>
    <xf numFmtId="0" fontId="4" fillId="0" borderId="1" xfId="6" applyFont="1" applyBorder="1" applyAlignment="1">
      <alignment horizontal="right"/>
    </xf>
    <xf numFmtId="0" fontId="4" fillId="0" borderId="0" xfId="6" applyFont="1" applyBorder="1" applyAlignment="1">
      <alignment horizontal="right"/>
    </xf>
    <xf numFmtId="0" fontId="8" fillId="0" borderId="0" xfId="0" applyFont="1"/>
    <xf numFmtId="0" fontId="4" fillId="0" borderId="0" xfId="6" applyFont="1" applyBorder="1" applyAlignment="1">
      <alignment horizontal="center" vertical="center"/>
    </xf>
    <xf numFmtId="0" fontId="6" fillId="0" borderId="1" xfId="0" applyFont="1" applyBorder="1" applyAlignment="1">
      <alignment wrapText="1"/>
    </xf>
    <xf numFmtId="0" fontId="6" fillId="0" borderId="0" xfId="0" applyFont="1" applyAlignment="1">
      <alignment wrapText="1"/>
    </xf>
    <xf numFmtId="0" fontId="6" fillId="0" borderId="2" xfId="0" applyFont="1" applyBorder="1" applyAlignment="1">
      <alignment wrapText="1"/>
    </xf>
    <xf numFmtId="0" fontId="10" fillId="0" borderId="0" xfId="2" applyFont="1"/>
    <xf numFmtId="0" fontId="10" fillId="0" borderId="0" xfId="2" applyFont="1" applyAlignment="1">
      <alignment vertical="center"/>
    </xf>
    <xf numFmtId="0" fontId="14" fillId="0" borderId="6" xfId="2" applyFont="1" applyBorder="1" applyAlignment="1">
      <alignment horizontal="center" vertical="center"/>
    </xf>
    <xf numFmtId="2" fontId="14" fillId="0" borderId="6" xfId="2" applyNumberFormat="1" applyFont="1" applyBorder="1" applyAlignment="1">
      <alignment horizontal="right" vertical="distributed" wrapText="1"/>
    </xf>
    <xf numFmtId="0" fontId="14" fillId="0" borderId="6" xfId="2" applyFont="1" applyBorder="1" applyAlignment="1">
      <alignment horizontal="distributed" vertical="distributed" wrapText="1"/>
    </xf>
    <xf numFmtId="0" fontId="14" fillId="0" borderId="6" xfId="2" applyFont="1" applyBorder="1" applyAlignment="1">
      <alignment horizontal="left" vertical="top" wrapText="1"/>
    </xf>
    <xf numFmtId="2" fontId="14" fillId="0" borderId="6" xfId="2" applyNumberFormat="1" applyFont="1" applyBorder="1" applyAlignment="1">
      <alignment horizontal="distributed" vertical="distributed" wrapText="1"/>
    </xf>
    <xf numFmtId="0" fontId="10" fillId="0" borderId="0" xfId="2" applyFont="1" applyAlignment="1">
      <alignment horizontal="distributed" vertical="distributed" wrapText="1"/>
    </xf>
    <xf numFmtId="0" fontId="14" fillId="0" borderId="6" xfId="2" applyFont="1" applyBorder="1" applyAlignment="1">
      <alignment horizontal="right" vertical="distributed" wrapText="1"/>
    </xf>
    <xf numFmtId="0" fontId="10" fillId="0" borderId="0" xfId="2" applyFont="1" applyAlignment="1">
      <alignment vertical="top"/>
    </xf>
    <xf numFmtId="0" fontId="14" fillId="0" borderId="0" xfId="2" applyFont="1" applyAlignment="1">
      <alignment horizontal="right" vertical="top"/>
    </xf>
    <xf numFmtId="2" fontId="14" fillId="0" borderId="0" xfId="2" applyNumberFormat="1" applyFont="1" applyAlignment="1">
      <alignment horizontal="right"/>
    </xf>
    <xf numFmtId="0" fontId="15" fillId="0" borderId="0" xfId="0" applyFont="1" applyFill="1"/>
    <xf numFmtId="0" fontId="4" fillId="0" borderId="1" xfId="6" applyFont="1" applyBorder="1" applyAlignment="1"/>
    <xf numFmtId="0" fontId="15" fillId="0" borderId="0" xfId="2" applyFont="1" applyFill="1" applyAlignment="1">
      <alignment horizontal="right"/>
    </xf>
    <xf numFmtId="0" fontId="15" fillId="0" borderId="0" xfId="2" applyFont="1" applyFill="1"/>
    <xf numFmtId="0" fontId="15" fillId="0" borderId="0" xfId="2" applyFont="1" applyFill="1" applyAlignment="1">
      <alignment horizontal="justify" vertical="top" wrapText="1"/>
    </xf>
    <xf numFmtId="0" fontId="15" fillId="0" borderId="0" xfId="2" applyFont="1"/>
    <xf numFmtId="0" fontId="15" fillId="0" borderId="0" xfId="2" applyFont="1" applyFill="1" applyAlignment="1">
      <alignment vertical="top"/>
    </xf>
    <xf numFmtId="0" fontId="15" fillId="0" borderId="0" xfId="2" applyFont="1" applyFill="1" applyAlignment="1">
      <alignment horizontal="center" vertical="top"/>
    </xf>
    <xf numFmtId="0" fontId="15" fillId="0" borderId="0" xfId="2" applyFont="1" applyFill="1" applyAlignment="1">
      <alignment horizontal="center" vertical="top" wrapText="1"/>
    </xf>
    <xf numFmtId="0" fontId="15" fillId="0" borderId="0" xfId="2" applyFont="1" applyAlignment="1">
      <alignment horizontal="right"/>
    </xf>
    <xf numFmtId="0" fontId="15" fillId="0" borderId="0" xfId="2" applyFont="1" applyAlignment="1">
      <alignment horizontal="justify" vertical="top" wrapText="1"/>
    </xf>
    <xf numFmtId="0" fontId="15" fillId="0" borderId="0" xfId="2" quotePrefix="1" applyFont="1" applyFill="1" applyAlignment="1">
      <alignment horizontal="center"/>
    </xf>
    <xf numFmtId="0" fontId="15" fillId="0" borderId="0" xfId="2" applyFont="1" applyAlignment="1">
      <alignment horizontal="center"/>
    </xf>
    <xf numFmtId="2" fontId="15" fillId="0" borderId="7" xfId="2" applyNumberFormat="1" applyFont="1" applyBorder="1" applyAlignment="1">
      <alignment horizontal="center"/>
    </xf>
    <xf numFmtId="0" fontId="15" fillId="0" borderId="0" xfId="2" applyFont="1" applyFill="1" applyAlignment="1">
      <alignment horizontal="center"/>
    </xf>
    <xf numFmtId="2" fontId="15" fillId="0" borderId="0" xfId="2" applyNumberFormat="1" applyFont="1" applyFill="1" applyAlignment="1">
      <alignment horizontal="center"/>
    </xf>
    <xf numFmtId="2" fontId="16" fillId="0" borderId="0" xfId="2" applyNumberFormat="1" applyFont="1" applyFill="1"/>
    <xf numFmtId="0" fontId="16" fillId="0" borderId="0" xfId="2" applyFont="1" applyFill="1" applyAlignment="1">
      <alignment horizontal="center"/>
    </xf>
    <xf numFmtId="2" fontId="16" fillId="0" borderId="0" xfId="2" applyNumberFormat="1" applyFont="1" applyFill="1" applyAlignment="1">
      <alignment horizontal="center"/>
    </xf>
    <xf numFmtId="0" fontId="16" fillId="0" borderId="0" xfId="2" applyFont="1" applyFill="1" applyAlignment="1">
      <alignment horizontal="right"/>
    </xf>
    <xf numFmtId="2" fontId="16" fillId="0" borderId="0" xfId="2" applyNumberFormat="1" applyFont="1" applyFill="1" applyAlignment="1">
      <alignment horizontal="right"/>
    </xf>
    <xf numFmtId="2" fontId="16" fillId="0" borderId="0" xfId="2" applyNumberFormat="1" applyFont="1" applyFill="1" applyAlignment="1">
      <alignment horizontal="left"/>
    </xf>
    <xf numFmtId="0" fontId="15" fillId="0" borderId="0" xfId="2" applyFont="1" applyFill="1" applyAlignment="1">
      <alignment horizontal="left"/>
    </xf>
    <xf numFmtId="0" fontId="15" fillId="0" borderId="7" xfId="2" applyFont="1" applyBorder="1"/>
    <xf numFmtId="0" fontId="15" fillId="0" borderId="0" xfId="0" applyFont="1" applyFill="1" applyAlignment="1">
      <alignment horizontal="center" vertical="top"/>
    </xf>
    <xf numFmtId="2" fontId="15" fillId="0" borderId="0" xfId="0" applyNumberFormat="1" applyFont="1" applyFill="1" applyAlignment="1">
      <alignment horizontal="center" vertical="top"/>
    </xf>
    <xf numFmtId="2" fontId="15" fillId="0" borderId="0" xfId="0" applyNumberFormat="1" applyFont="1" applyFill="1" applyAlignment="1">
      <alignment horizontal="center" vertical="top" wrapText="1"/>
    </xf>
    <xf numFmtId="0" fontId="15" fillId="0" borderId="0" xfId="0" applyFont="1" applyFill="1" applyAlignment="1">
      <alignment horizontal="right"/>
    </xf>
    <xf numFmtId="0" fontId="16" fillId="0" borderId="0" xfId="0" applyFont="1" applyFill="1" applyAlignment="1">
      <alignment horizontal="right"/>
    </xf>
    <xf numFmtId="2" fontId="16" fillId="0" borderId="0" xfId="5" applyNumberFormat="1" applyFont="1" applyFill="1" applyAlignment="1">
      <alignment horizontal="center" vertical="center"/>
    </xf>
    <xf numFmtId="2" fontId="16" fillId="0" borderId="0" xfId="0" applyNumberFormat="1" applyFont="1" applyFill="1" applyAlignment="1">
      <alignment horizontal="left"/>
    </xf>
    <xf numFmtId="0" fontId="17" fillId="0" borderId="0" xfId="6" applyFont="1" applyBorder="1"/>
    <xf numFmtId="0" fontId="15" fillId="0" borderId="0" xfId="2" quotePrefix="1" applyFont="1"/>
    <xf numFmtId="0" fontId="15" fillId="0" borderId="0" xfId="2" quotePrefix="1" applyFont="1" applyAlignment="1">
      <alignment horizontal="left"/>
    </xf>
    <xf numFmtId="0" fontId="16" fillId="0" borderId="0" xfId="2" applyFont="1"/>
    <xf numFmtId="2" fontId="15" fillId="0" borderId="0" xfId="2" applyNumberFormat="1" applyFont="1" applyAlignment="1">
      <alignment horizontal="right"/>
    </xf>
    <xf numFmtId="0" fontId="18" fillId="0" borderId="0" xfId="0" applyFont="1"/>
    <xf numFmtId="0" fontId="19" fillId="0" borderId="0" xfId="0" applyFont="1" applyBorder="1" applyAlignment="1">
      <alignment vertical="top"/>
    </xf>
    <xf numFmtId="0" fontId="19" fillId="0" borderId="0" xfId="0" applyFont="1" applyAlignment="1">
      <alignment vertical="top"/>
    </xf>
    <xf numFmtId="2" fontId="20" fillId="0" borderId="0" xfId="0" applyNumberFormat="1" applyFont="1" applyAlignment="1">
      <alignment horizontal="justify" vertical="top" wrapText="1"/>
    </xf>
    <xf numFmtId="2" fontId="17" fillId="0" borderId="0" xfId="0" applyNumberFormat="1" applyFont="1" applyAlignment="1">
      <alignment horizontal="right" vertical="top" wrapText="1"/>
    </xf>
    <xf numFmtId="1" fontId="20" fillId="0" borderId="0" xfId="0" applyNumberFormat="1" applyFont="1" applyAlignment="1">
      <alignment horizontal="center" vertical="top" wrapText="1"/>
    </xf>
    <xf numFmtId="2" fontId="20" fillId="0" borderId="0" xfId="0" applyNumberFormat="1" applyFont="1" applyAlignment="1">
      <alignment horizontal="center" vertical="top" wrapText="1"/>
    </xf>
    <xf numFmtId="2" fontId="20" fillId="0" borderId="0" xfId="0" applyNumberFormat="1" applyFont="1" applyAlignment="1">
      <alignment horizontal="right" vertical="top" wrapText="1"/>
    </xf>
    <xf numFmtId="0" fontId="21" fillId="0" borderId="0" xfId="0" applyFont="1" applyAlignment="1">
      <alignment vertical="top" wrapText="1"/>
    </xf>
    <xf numFmtId="164" fontId="21" fillId="0" borderId="0" xfId="1" applyFont="1" applyBorder="1" applyAlignment="1">
      <alignment horizontal="right" vertical="top" wrapText="1"/>
    </xf>
    <xf numFmtId="9" fontId="20" fillId="0" borderId="0" xfId="0" applyNumberFormat="1" applyFont="1" applyAlignment="1">
      <alignment horizontal="center" vertical="top" wrapText="1"/>
    </xf>
    <xf numFmtId="0" fontId="17" fillId="0" borderId="0" xfId="0" applyFont="1" applyAlignment="1">
      <alignment vertical="top" wrapText="1"/>
    </xf>
    <xf numFmtId="164" fontId="20" fillId="0" borderId="0" xfId="1" applyFont="1" applyBorder="1" applyAlignment="1">
      <alignment horizontal="right" vertical="top" wrapText="1"/>
    </xf>
    <xf numFmtId="164" fontId="17" fillId="0" borderId="0" xfId="1" applyFont="1" applyBorder="1" applyAlignment="1">
      <alignment horizontal="right" vertical="top" wrapText="1"/>
    </xf>
    <xf numFmtId="2" fontId="20" fillId="0" borderId="0" xfId="0" applyNumberFormat="1" applyFont="1" applyAlignment="1">
      <alignment horizontal="left" vertical="center"/>
    </xf>
    <xf numFmtId="0" fontId="20" fillId="0" borderId="0" xfId="0" applyFont="1"/>
    <xf numFmtId="2" fontId="20" fillId="0" borderId="0" xfId="0" applyNumberFormat="1" applyFont="1" applyAlignment="1">
      <alignment horizontal="right"/>
    </xf>
    <xf numFmtId="2" fontId="20" fillId="0" borderId="8" xfId="0" applyNumberFormat="1" applyFont="1" applyBorder="1" applyAlignment="1">
      <alignment horizontal="right"/>
    </xf>
    <xf numFmtId="0" fontId="20" fillId="0" borderId="0" xfId="0" applyFont="1" applyAlignment="1">
      <alignment horizontal="center"/>
    </xf>
    <xf numFmtId="0" fontId="17" fillId="0" borderId="0" xfId="0" applyFont="1" applyAlignment="1">
      <alignment horizontal="right"/>
    </xf>
    <xf numFmtId="2" fontId="17" fillId="0" borderId="0" xfId="5" applyNumberFormat="1" applyFont="1" applyAlignment="1">
      <alignment horizontal="right" vertical="center"/>
    </xf>
    <xf numFmtId="0" fontId="17" fillId="0" borderId="0" xfId="0" applyFont="1" applyAlignment="1">
      <alignment horizontal="left"/>
    </xf>
    <xf numFmtId="2" fontId="20" fillId="0" borderId="0" xfId="0" applyNumberFormat="1" applyFont="1" applyBorder="1" applyAlignment="1">
      <alignment horizontal="justify" vertical="top" wrapText="1"/>
    </xf>
    <xf numFmtId="2" fontId="20" fillId="0" borderId="0" xfId="0" applyNumberFormat="1" applyFont="1" applyAlignment="1">
      <alignment horizontal="left" vertical="top" wrapText="1"/>
    </xf>
    <xf numFmtId="2" fontId="17" fillId="0" borderId="0" xfId="0" applyNumberFormat="1" applyFont="1" applyAlignment="1">
      <alignment horizontal="left" vertical="top" wrapText="1"/>
    </xf>
    <xf numFmtId="0" fontId="20" fillId="0" borderId="0" xfId="0" applyFont="1" applyBorder="1" applyAlignment="1">
      <alignment vertical="center"/>
    </xf>
    <xf numFmtId="0" fontId="20" fillId="0" borderId="0" xfId="0" applyFont="1" applyAlignment="1">
      <alignment vertical="center"/>
    </xf>
    <xf numFmtId="2" fontId="20" fillId="0" borderId="0" xfId="0" applyNumberFormat="1" applyFont="1" applyBorder="1" applyAlignment="1">
      <alignment horizontal="left" vertical="top" wrapText="1"/>
    </xf>
    <xf numFmtId="2" fontId="20" fillId="0" borderId="0" xfId="0" applyNumberFormat="1" applyFont="1" applyBorder="1" applyAlignment="1">
      <alignment horizontal="right" vertical="top" wrapText="1"/>
    </xf>
    <xf numFmtId="2" fontId="20" fillId="0" borderId="0" xfId="0" applyNumberFormat="1" applyFont="1" applyBorder="1" applyAlignment="1">
      <alignment horizontal="left" vertical="center"/>
    </xf>
    <xf numFmtId="0" fontId="20" fillId="0" borderId="0" xfId="0" applyFont="1" applyAlignment="1">
      <alignment horizontal="left"/>
    </xf>
    <xf numFmtId="2" fontId="20" fillId="0" borderId="0" xfId="0" applyNumberFormat="1" applyFont="1" applyBorder="1" applyAlignment="1">
      <alignment vertical="center"/>
    </xf>
    <xf numFmtId="2" fontId="17" fillId="0" borderId="0" xfId="0" applyNumberFormat="1" applyFont="1" applyBorder="1" applyAlignment="1">
      <alignment horizontal="right" vertical="center"/>
    </xf>
    <xf numFmtId="2" fontId="17" fillId="0" borderId="0" xfId="0" applyNumberFormat="1" applyFont="1" applyBorder="1" applyAlignment="1">
      <alignment horizontal="center" vertical="center"/>
    </xf>
    <xf numFmtId="2" fontId="17" fillId="0" borderId="0" xfId="0" applyNumberFormat="1" applyFont="1" applyBorder="1" applyAlignment="1">
      <alignment horizontal="left" vertical="center"/>
    </xf>
    <xf numFmtId="2" fontId="20" fillId="0" borderId="0" xfId="0" applyNumberFormat="1" applyFont="1" applyBorder="1" applyAlignment="1">
      <alignment horizontal="right"/>
    </xf>
    <xf numFmtId="0" fontId="19" fillId="0" borderId="0" xfId="0" applyFont="1" applyBorder="1" applyAlignment="1">
      <alignment horizontal="right" vertical="top"/>
    </xf>
    <xf numFmtId="0" fontId="22" fillId="0" borderId="0" xfId="0" applyFont="1" applyAlignment="1">
      <alignment horizontal="left"/>
    </xf>
    <xf numFmtId="0" fontId="23" fillId="0" borderId="0" xfId="0" applyFont="1" applyAlignment="1">
      <alignment horizontal="center"/>
    </xf>
    <xf numFmtId="0" fontId="24" fillId="0" borderId="0" xfId="0" applyFont="1" applyAlignment="1">
      <alignment horizontal="center"/>
    </xf>
    <xf numFmtId="0" fontId="25" fillId="0" borderId="0" xfId="0" applyFont="1" applyAlignment="1">
      <alignment horizontal="center"/>
    </xf>
    <xf numFmtId="0" fontId="24" fillId="0" borderId="0" xfId="0" applyFont="1"/>
    <xf numFmtId="0" fontId="16" fillId="0" borderId="9" xfId="0" applyFont="1" applyBorder="1" applyAlignment="1">
      <alignment horizontal="center"/>
    </xf>
    <xf numFmtId="0" fontId="15" fillId="0" borderId="10"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15" fillId="0" borderId="13" xfId="0" applyFont="1" applyBorder="1" applyAlignment="1">
      <alignment horizontal="center"/>
    </xf>
    <xf numFmtId="0" fontId="16" fillId="0" borderId="14" xfId="0" applyFont="1" applyBorder="1" applyAlignment="1">
      <alignment horizontal="center"/>
    </xf>
    <xf numFmtId="0" fontId="15" fillId="0" borderId="12" xfId="0" applyFont="1" applyBorder="1" applyAlignment="1">
      <alignment horizontal="center"/>
    </xf>
    <xf numFmtId="0" fontId="15" fillId="0" borderId="11" xfId="0" applyFont="1" applyBorder="1" applyAlignment="1">
      <alignment horizontal="center"/>
    </xf>
    <xf numFmtId="2" fontId="15" fillId="0" borderId="12" xfId="0" applyNumberFormat="1" applyFont="1" applyBorder="1" applyAlignment="1">
      <alignment horizontal="right"/>
    </xf>
    <xf numFmtId="0" fontId="15" fillId="0" borderId="12" xfId="0" applyFont="1" applyBorder="1" applyAlignment="1">
      <alignment horizontal="right"/>
    </xf>
    <xf numFmtId="0" fontId="15" fillId="0" borderId="15" xfId="0" applyFont="1" applyBorder="1"/>
    <xf numFmtId="0" fontId="15" fillId="0" borderId="13" xfId="0" applyFont="1" applyBorder="1"/>
    <xf numFmtId="0" fontId="15" fillId="0" borderId="16" xfId="0" applyFont="1" applyBorder="1" applyAlignment="1">
      <alignment horizontal="center"/>
    </xf>
    <xf numFmtId="0" fontId="15" fillId="0" borderId="10" xfId="0" applyFont="1" applyBorder="1"/>
    <xf numFmtId="0" fontId="15" fillId="0" borderId="17" xfId="0" applyFont="1" applyBorder="1" applyAlignment="1">
      <alignment horizontal="right"/>
    </xf>
    <xf numFmtId="2" fontId="15" fillId="0" borderId="17" xfId="0" applyNumberFormat="1" applyFont="1" applyBorder="1" applyAlignment="1">
      <alignment horizontal="right"/>
    </xf>
    <xf numFmtId="0" fontId="15" fillId="0" borderId="17" xfId="0" applyFont="1" applyBorder="1"/>
    <xf numFmtId="0" fontId="15" fillId="0" borderId="14" xfId="0" applyFont="1" applyBorder="1" applyAlignment="1">
      <alignment horizontal="right"/>
    </xf>
    <xf numFmtId="0" fontId="15" fillId="0" borderId="10" xfId="0" applyFont="1" applyBorder="1" applyAlignment="1">
      <alignment horizontal="right"/>
    </xf>
    <xf numFmtId="0" fontId="15" fillId="0" borderId="15" xfId="0" applyFont="1" applyBorder="1" applyAlignment="1">
      <alignment horizontal="center"/>
    </xf>
    <xf numFmtId="167" fontId="25" fillId="0" borderId="14" xfId="0" applyNumberFormat="1" applyFont="1" applyBorder="1" applyAlignment="1">
      <alignment horizontal="center"/>
    </xf>
    <xf numFmtId="0" fontId="15" fillId="0" borderId="0" xfId="0" applyFont="1"/>
    <xf numFmtId="2" fontId="26" fillId="0" borderId="0" xfId="0" applyNumberFormat="1" applyFont="1" applyBorder="1" applyAlignment="1">
      <alignment vertical="center"/>
    </xf>
    <xf numFmtId="0" fontId="15" fillId="0" borderId="0" xfId="0" applyFont="1" applyAlignment="1">
      <alignment horizontal="center"/>
    </xf>
    <xf numFmtId="2" fontId="27" fillId="0" borderId="0" xfId="0" applyNumberFormat="1" applyFont="1" applyBorder="1" applyAlignment="1">
      <alignment horizontal="center" vertical="center"/>
    </xf>
    <xf numFmtId="0" fontId="28" fillId="0" borderId="0" xfId="0" applyFont="1" applyAlignment="1">
      <alignment vertical="center" wrapText="1"/>
    </xf>
    <xf numFmtId="0" fontId="17" fillId="0" borderId="6" xfId="0" applyFont="1" applyBorder="1" applyAlignment="1">
      <alignment horizontal="center" vertical="center"/>
    </xf>
    <xf numFmtId="9" fontId="20" fillId="0" borderId="0" xfId="0" applyNumberFormat="1" applyFont="1" applyAlignment="1">
      <alignment vertical="center"/>
    </xf>
    <xf numFmtId="0" fontId="20" fillId="0" borderId="9" xfId="0" applyFont="1" applyBorder="1" applyAlignment="1">
      <alignment horizontal="center" vertical="top" wrapText="1"/>
    </xf>
    <xf numFmtId="2" fontId="20" fillId="0" borderId="9" xfId="0" applyNumberFormat="1" applyFont="1" applyBorder="1" applyAlignment="1">
      <alignment vertical="top"/>
    </xf>
    <xf numFmtId="0" fontId="20" fillId="0" borderId="9" xfId="0" applyFont="1" applyBorder="1" applyAlignment="1">
      <alignment horizontal="justify" vertical="top" wrapText="1"/>
    </xf>
    <xf numFmtId="2" fontId="20" fillId="0" borderId="9" xfId="0" applyNumberFormat="1" applyFont="1" applyBorder="1" applyAlignment="1">
      <alignment vertical="top" wrapText="1"/>
    </xf>
    <xf numFmtId="0" fontId="20" fillId="0" borderId="9" xfId="0" applyFont="1" applyFill="1" applyBorder="1" applyAlignment="1">
      <alignment horizontal="justify" vertical="top" wrapText="1"/>
    </xf>
    <xf numFmtId="2" fontId="20" fillId="0" borderId="6" xfId="0" applyNumberFormat="1" applyFont="1" applyBorder="1" applyAlignment="1">
      <alignment vertical="top"/>
    </xf>
    <xf numFmtId="2" fontId="20" fillId="0" borderId="6" xfId="0" applyNumberFormat="1" applyFont="1" applyBorder="1" applyAlignment="1">
      <alignment vertical="top" wrapText="1"/>
    </xf>
    <xf numFmtId="0" fontId="20" fillId="0" borderId="6" xfId="0" applyFont="1" applyBorder="1" applyAlignment="1">
      <alignment horizontal="center" vertical="top" wrapText="1"/>
    </xf>
    <xf numFmtId="0" fontId="20" fillId="0" borderId="6" xfId="0" applyFont="1" applyBorder="1" applyAlignment="1">
      <alignment horizontal="justify" vertical="top" wrapText="1"/>
    </xf>
    <xf numFmtId="0" fontId="20" fillId="0" borderId="12" xfId="0" applyFont="1" applyBorder="1" applyAlignment="1">
      <alignment horizontal="center" vertical="top" wrapText="1"/>
    </xf>
    <xf numFmtId="2" fontId="20" fillId="0" borderId="12" xfId="0" applyNumberFormat="1" applyFont="1" applyBorder="1" applyAlignment="1">
      <alignment vertical="top"/>
    </xf>
    <xf numFmtId="0" fontId="20" fillId="0" borderId="12" xfId="0" applyFont="1" applyBorder="1" applyAlignment="1">
      <alignment horizontal="justify" vertical="top" wrapText="1"/>
    </xf>
    <xf numFmtId="0" fontId="20" fillId="0" borderId="6" xfId="0" applyFont="1" applyBorder="1" applyAlignment="1">
      <alignment horizontal="right" vertical="top" wrapText="1"/>
    </xf>
    <xf numFmtId="2" fontId="20" fillId="0" borderId="13" xfId="0" applyNumberFormat="1" applyFont="1" applyBorder="1" applyAlignment="1">
      <alignment vertical="top"/>
    </xf>
    <xf numFmtId="0" fontId="20" fillId="0" borderId="0" xfId="0" applyFont="1" applyBorder="1" applyAlignment="1">
      <alignment horizontal="center"/>
    </xf>
    <xf numFmtId="0" fontId="20" fillId="0" borderId="0" xfId="0" applyFont="1" applyBorder="1" applyAlignment="1"/>
    <xf numFmtId="0" fontId="20" fillId="0" borderId="0" xfId="0" applyFont="1" applyBorder="1" applyAlignment="1">
      <alignment horizontal="center" vertical="center"/>
    </xf>
    <xf numFmtId="0" fontId="20" fillId="0" borderId="0" xfId="0" quotePrefix="1" applyFont="1" applyAlignment="1">
      <alignment horizontal="center" vertical="center"/>
    </xf>
    <xf numFmtId="2" fontId="20" fillId="0" borderId="0" xfId="0" applyNumberFormat="1" applyFont="1" applyBorder="1" applyAlignment="1">
      <alignment horizontal="right" vertical="center"/>
    </xf>
    <xf numFmtId="166" fontId="17" fillId="0" borderId="0" xfId="0" applyNumberFormat="1" applyFont="1" applyAlignment="1">
      <alignment vertical="center"/>
    </xf>
    <xf numFmtId="0" fontId="27" fillId="0" borderId="0" xfId="0" applyFont="1"/>
    <xf numFmtId="0" fontId="27" fillId="0" borderId="0" xfId="0" applyFont="1" applyAlignment="1">
      <alignment horizontal="center"/>
    </xf>
    <xf numFmtId="0" fontId="17" fillId="0" borderId="0" xfId="0" applyFont="1" applyAlignment="1">
      <alignment horizontal="center"/>
    </xf>
    <xf numFmtId="2" fontId="17" fillId="0" borderId="0" xfId="0" applyNumberFormat="1" applyFont="1" applyAlignment="1">
      <alignment horizontal="right"/>
    </xf>
    <xf numFmtId="1" fontId="26" fillId="0" borderId="0" xfId="0" applyNumberFormat="1" applyFont="1" applyAlignment="1">
      <alignment horizontal="center"/>
    </xf>
    <xf numFmtId="0" fontId="20" fillId="0" borderId="0" xfId="0" applyFont="1" applyAlignment="1">
      <alignment horizontal="center" vertical="center"/>
    </xf>
    <xf numFmtId="2" fontId="20" fillId="0" borderId="0" xfId="0" applyNumberFormat="1" applyFont="1" applyBorder="1" applyAlignment="1">
      <alignment horizontal="center" vertical="center"/>
    </xf>
    <xf numFmtId="0" fontId="20" fillId="0" borderId="0" xfId="0" applyFont="1" applyBorder="1" applyAlignment="1">
      <alignment horizontal="right" vertical="center"/>
    </xf>
    <xf numFmtId="0" fontId="17" fillId="0" borderId="0" xfId="0" applyFont="1" applyBorder="1" applyAlignment="1">
      <alignment horizontal="right" vertical="center"/>
    </xf>
    <xf numFmtId="0" fontId="17" fillId="0" borderId="0" xfId="0" applyFont="1" applyBorder="1" applyAlignment="1">
      <alignment horizontal="center" vertical="center"/>
    </xf>
    <xf numFmtId="0" fontId="20" fillId="0" borderId="0" xfId="0" applyFont="1" applyAlignment="1">
      <alignment horizontal="right"/>
    </xf>
    <xf numFmtId="0" fontId="20" fillId="0" borderId="0" xfId="0" applyFont="1" applyAlignment="1">
      <alignment horizontal="right" vertical="center"/>
    </xf>
    <xf numFmtId="0" fontId="27" fillId="0" borderId="0" xfId="2" applyFont="1" applyFill="1" applyAlignment="1">
      <alignment horizontal="center" vertical="top" wrapText="1"/>
    </xf>
    <xf numFmtId="0" fontId="20" fillId="0" borderId="0" xfId="0" applyFont="1" applyAlignment="1">
      <alignment horizontal="center"/>
    </xf>
    <xf numFmtId="0" fontId="15" fillId="0" borderId="0" xfId="0" applyFont="1" applyAlignment="1">
      <alignment horizontal="center"/>
    </xf>
    <xf numFmtId="0" fontId="27" fillId="0" borderId="0" xfId="2" applyFont="1" applyFill="1"/>
    <xf numFmtId="0" fontId="27" fillId="0" borderId="0" xfId="2" applyFont="1" applyFill="1" applyAlignment="1">
      <alignment horizontal="left" vertical="top" wrapText="1"/>
    </xf>
    <xf numFmtId="2" fontId="27" fillId="0" borderId="0" xfId="2" applyNumberFormat="1" applyFont="1" applyFill="1" applyAlignment="1">
      <alignment horizontal="justify" vertical="top" wrapText="1"/>
    </xf>
    <xf numFmtId="0" fontId="27" fillId="0" borderId="0" xfId="2" applyFont="1" applyFill="1" applyAlignment="1">
      <alignment horizontal="justify" vertical="top" wrapText="1"/>
    </xf>
    <xf numFmtId="0" fontId="27" fillId="0" borderId="0" xfId="2" applyFont="1" applyFill="1" applyAlignment="1">
      <alignment horizontal="left"/>
    </xf>
    <xf numFmtId="2" fontId="27" fillId="0" borderId="0" xfId="2" applyNumberFormat="1" applyFont="1" applyFill="1" applyAlignment="1">
      <alignment horizontal="left"/>
    </xf>
    <xf numFmtId="0" fontId="27" fillId="0" borderId="0" xfId="2" applyFont="1" applyFill="1" applyAlignment="1">
      <alignment horizontal="center"/>
    </xf>
    <xf numFmtId="2" fontId="27" fillId="0" borderId="0" xfId="2" applyNumberFormat="1" applyFont="1" applyFill="1" applyAlignment="1">
      <alignment horizontal="center"/>
    </xf>
    <xf numFmtId="2" fontId="15" fillId="0" borderId="0" xfId="0" applyNumberFormat="1" applyFont="1" applyFill="1" applyAlignment="1">
      <alignment vertical="top"/>
    </xf>
    <xf numFmtId="0" fontId="15" fillId="0" borderId="0" xfId="0" applyFont="1" applyFill="1" applyAlignment="1">
      <alignment vertical="top"/>
    </xf>
    <xf numFmtId="0" fontId="27" fillId="0" borderId="0" xfId="0" applyFont="1" applyFill="1" applyAlignment="1">
      <alignment vertical="top"/>
    </xf>
    <xf numFmtId="0" fontId="27" fillId="0" borderId="0" xfId="0" applyFont="1" applyFill="1" applyAlignment="1">
      <alignment horizontal="right" vertical="center"/>
    </xf>
    <xf numFmtId="2" fontId="27" fillId="0" borderId="0" xfId="0" quotePrefix="1" applyNumberFormat="1" applyFont="1" applyFill="1" applyAlignment="1">
      <alignment horizontal="center" vertical="center"/>
    </xf>
    <xf numFmtId="2" fontId="26" fillId="0" borderId="0" xfId="0" applyNumberFormat="1" applyFont="1" applyFill="1" applyAlignment="1">
      <alignment horizontal="right" vertical="top"/>
    </xf>
    <xf numFmtId="0" fontId="26" fillId="0" borderId="0" xfId="0" applyFont="1" applyFill="1" applyAlignment="1">
      <alignment horizontal="left" vertical="top"/>
    </xf>
    <xf numFmtId="0" fontId="15" fillId="0" borderId="0" xfId="0" applyFont="1" applyFill="1" applyAlignment="1">
      <alignment horizontal="justify" vertical="top" wrapText="1"/>
    </xf>
    <xf numFmtId="0" fontId="15" fillId="0" borderId="0" xfId="0" applyFont="1" applyFill="1" applyAlignment="1">
      <alignment horizontal="center" vertical="top" wrapText="1"/>
    </xf>
    <xf numFmtId="0" fontId="15" fillId="0" borderId="0" xfId="0" applyFont="1" applyFill="1" applyAlignment="1">
      <alignment horizontal="center"/>
    </xf>
    <xf numFmtId="0" fontId="16" fillId="0" borderId="0" xfId="0" applyFont="1" applyFill="1" applyAlignment="1">
      <alignment horizontal="center"/>
    </xf>
    <xf numFmtId="165" fontId="15" fillId="0" borderId="0" xfId="0" applyNumberFormat="1" applyFont="1" applyFill="1" applyAlignment="1">
      <alignment horizontal="center"/>
    </xf>
    <xf numFmtId="2" fontId="15" fillId="0" borderId="0" xfId="0" applyNumberFormat="1" applyFont="1" applyFill="1" applyAlignment="1">
      <alignment horizontal="center"/>
    </xf>
    <xf numFmtId="2" fontId="16" fillId="0" borderId="0" xfId="0" applyNumberFormat="1" applyFont="1" applyFill="1" applyAlignment="1">
      <alignment horizontal="center"/>
    </xf>
    <xf numFmtId="0" fontId="15" fillId="0" borderId="0" xfId="0" applyFont="1" applyFill="1" applyAlignment="1">
      <alignment horizontal="left"/>
    </xf>
    <xf numFmtId="0" fontId="16" fillId="0" borderId="0" xfId="0" applyFont="1" applyFill="1" applyAlignment="1">
      <alignment horizontal="left"/>
    </xf>
    <xf numFmtId="0" fontId="15" fillId="0" borderId="0" xfId="0" applyFont="1" applyFill="1" applyAlignment="1">
      <alignment horizontal="right" vertical="top"/>
    </xf>
    <xf numFmtId="0" fontId="16" fillId="0" borderId="0" xfId="0" applyFont="1" applyFill="1" applyAlignment="1">
      <alignment horizontal="right" vertical="top"/>
    </xf>
    <xf numFmtId="0" fontId="27" fillId="0" borderId="0" xfId="2" applyFont="1"/>
    <xf numFmtId="0" fontId="27" fillId="0" borderId="0" xfId="2" applyFont="1" applyAlignment="1">
      <alignment horizontal="center" vertical="top" wrapText="1"/>
    </xf>
    <xf numFmtId="0" fontId="15" fillId="0" borderId="0" xfId="0" applyFont="1" applyAlignment="1">
      <alignment vertical="top"/>
    </xf>
    <xf numFmtId="0" fontId="15" fillId="0" borderId="0" xfId="0" applyFont="1" applyAlignment="1">
      <alignment horizontal="center" vertical="top"/>
    </xf>
    <xf numFmtId="0" fontId="16" fillId="0" borderId="0" xfId="0" applyFont="1" applyAlignment="1">
      <alignment horizontal="center"/>
    </xf>
    <xf numFmtId="0" fontId="15" fillId="0" borderId="0" xfId="0" applyFont="1" applyAlignment="1">
      <alignment horizontal="justify" vertical="top" wrapText="1"/>
    </xf>
    <xf numFmtId="0" fontId="15" fillId="0" borderId="0" xfId="0" applyFont="1" applyAlignment="1">
      <alignment horizontal="right" vertical="top"/>
    </xf>
    <xf numFmtId="0" fontId="16" fillId="0" borderId="0" xfId="0" applyFont="1" applyAlignment="1">
      <alignment horizontal="right" vertical="top"/>
    </xf>
    <xf numFmtId="2" fontId="16" fillId="0" borderId="0" xfId="0" applyNumberFormat="1" applyFont="1" applyAlignment="1">
      <alignment horizontal="center"/>
    </xf>
    <xf numFmtId="0" fontId="16" fillId="0" borderId="0" xfId="0" applyFont="1" applyAlignment="1">
      <alignment horizontal="right"/>
    </xf>
    <xf numFmtId="0" fontId="16" fillId="0" borderId="0" xfId="0" applyFont="1" applyAlignment="1">
      <alignment horizontal="left"/>
    </xf>
    <xf numFmtId="1" fontId="15" fillId="0" borderId="0" xfId="0" applyNumberFormat="1" applyFont="1" applyFill="1" applyAlignment="1">
      <alignment horizontal="center"/>
    </xf>
    <xf numFmtId="0" fontId="15" fillId="0" borderId="0" xfId="0" quotePrefix="1" applyFont="1" applyFill="1" applyAlignment="1">
      <alignment horizontal="center"/>
    </xf>
    <xf numFmtId="165" fontId="16" fillId="0" borderId="0" xfId="0" applyNumberFormat="1" applyFont="1" applyFill="1" applyAlignment="1">
      <alignment horizontal="center"/>
    </xf>
    <xf numFmtId="2" fontId="27" fillId="0" borderId="0" xfId="2" applyNumberFormat="1" applyFont="1" applyAlignment="1">
      <alignment horizontal="justify" vertical="top" wrapText="1"/>
    </xf>
    <xf numFmtId="2" fontId="27" fillId="0" borderId="0" xfId="2" applyNumberFormat="1" applyFont="1" applyAlignment="1">
      <alignment horizontal="center" vertical="top" wrapText="1"/>
    </xf>
    <xf numFmtId="0" fontId="15" fillId="0" borderId="0" xfId="2" applyFont="1" applyAlignment="1">
      <alignment horizontal="left"/>
    </xf>
    <xf numFmtId="165" fontId="15" fillId="0" borderId="0" xfId="2" applyNumberFormat="1" applyFont="1" applyAlignment="1">
      <alignment horizontal="center"/>
    </xf>
    <xf numFmtId="165" fontId="27" fillId="0" borderId="0" xfId="2" applyNumberFormat="1" applyFont="1" applyAlignment="1">
      <alignment horizontal="center" vertical="top" wrapText="1"/>
    </xf>
    <xf numFmtId="165" fontId="16" fillId="0" borderId="0" xfId="0" applyNumberFormat="1" applyFont="1" applyAlignment="1">
      <alignment horizontal="center"/>
    </xf>
    <xf numFmtId="2" fontId="27" fillId="0" borderId="0" xfId="2" applyNumberFormat="1" applyFont="1" applyFill="1" applyAlignment="1"/>
    <xf numFmtId="0" fontId="20" fillId="0" borderId="18" xfId="0" applyFont="1" applyFill="1" applyBorder="1"/>
    <xf numFmtId="0" fontId="20" fillId="0" borderId="19" xfId="0" applyFont="1" applyFill="1" applyBorder="1"/>
    <xf numFmtId="0" fontId="20" fillId="0" borderId="20" xfId="0" applyFont="1" applyFill="1" applyBorder="1"/>
    <xf numFmtId="0" fontId="20" fillId="0" borderId="0" xfId="0" applyFont="1" applyFill="1"/>
    <xf numFmtId="0" fontId="20" fillId="0" borderId="21" xfId="0" applyFont="1" applyFill="1" applyBorder="1"/>
    <xf numFmtId="0" fontId="20" fillId="0" borderId="0" xfId="0" applyFont="1" applyFill="1" applyBorder="1"/>
    <xf numFmtId="0" fontId="20" fillId="0" borderId="22" xfId="0" applyFont="1" applyFill="1" applyBorder="1"/>
    <xf numFmtId="0" fontId="29" fillId="0" borderId="21" xfId="0" applyFont="1" applyFill="1" applyBorder="1" applyAlignment="1">
      <alignment horizontal="center"/>
    </xf>
    <xf numFmtId="0" fontId="29" fillId="0" borderId="0" xfId="0" applyFont="1" applyFill="1" applyBorder="1" applyAlignment="1">
      <alignment horizontal="center"/>
    </xf>
    <xf numFmtId="0" fontId="29" fillId="0" borderId="22" xfId="0" applyFont="1" applyFill="1" applyBorder="1" applyAlignment="1">
      <alignment horizontal="center"/>
    </xf>
    <xf numFmtId="0" fontId="30" fillId="0" borderId="21" xfId="0" applyFont="1" applyFill="1" applyBorder="1" applyAlignment="1">
      <alignment horizontal="center"/>
    </xf>
    <xf numFmtId="0" fontId="30" fillId="0" borderId="0" xfId="0" applyFont="1" applyFill="1" applyBorder="1" applyAlignment="1">
      <alignment horizontal="center"/>
    </xf>
    <xf numFmtId="0" fontId="30" fillId="0" borderId="22" xfId="0" applyFont="1" applyFill="1" applyBorder="1" applyAlignment="1">
      <alignment horizontal="center"/>
    </xf>
    <xf numFmtId="0" fontId="31" fillId="0" borderId="21" xfId="0" applyFont="1" applyFill="1" applyBorder="1" applyAlignment="1">
      <alignment vertical="center"/>
    </xf>
    <xf numFmtId="0" fontId="31" fillId="0" borderId="0" xfId="0" applyFont="1" applyFill="1" applyBorder="1" applyAlignment="1">
      <alignment vertical="center"/>
    </xf>
    <xf numFmtId="0" fontId="31" fillId="0" borderId="22" xfId="0" applyFont="1" applyFill="1" applyBorder="1" applyAlignment="1">
      <alignment vertical="center"/>
    </xf>
    <xf numFmtId="0" fontId="31" fillId="0" borderId="21" xfId="0" applyFont="1" applyFill="1" applyBorder="1" applyAlignment="1">
      <alignment horizontal="center" vertical="center"/>
    </xf>
    <xf numFmtId="0" fontId="31" fillId="0" borderId="0" xfId="0" applyFont="1" applyFill="1" applyBorder="1" applyAlignment="1">
      <alignment horizontal="center" vertical="center"/>
    </xf>
    <xf numFmtId="0" fontId="31" fillId="0" borderId="22" xfId="0" applyFont="1" applyFill="1" applyBorder="1" applyAlignment="1">
      <alignment horizontal="center" vertical="center"/>
    </xf>
    <xf numFmtId="0" fontId="20" fillId="0" borderId="23" xfId="0" applyFont="1" applyFill="1" applyBorder="1"/>
    <xf numFmtId="0" fontId="20" fillId="0" borderId="24" xfId="0" applyFont="1" applyFill="1" applyBorder="1"/>
    <xf numFmtId="0" fontId="20" fillId="0" borderId="25" xfId="0" applyFont="1" applyFill="1" applyBorder="1"/>
    <xf numFmtId="0" fontId="32" fillId="0" borderId="0" xfId="0" applyFont="1" applyAlignment="1">
      <alignment horizontal="center"/>
    </xf>
    <xf numFmtId="0" fontId="32" fillId="0" borderId="0" xfId="0" applyFont="1"/>
    <xf numFmtId="2" fontId="15" fillId="0" borderId="0" xfId="2" applyNumberFormat="1" applyFont="1" applyFill="1"/>
    <xf numFmtId="0" fontId="15" fillId="2" borderId="0" xfId="2" applyFont="1" applyFill="1" applyAlignment="1">
      <alignment vertical="top"/>
    </xf>
    <xf numFmtId="0" fontId="15" fillId="3" borderId="0" xfId="2" applyFont="1" applyFill="1"/>
    <xf numFmtId="0" fontId="15" fillId="3" borderId="0" xfId="2" quotePrefix="1" applyFont="1" applyFill="1" applyAlignment="1">
      <alignment horizontal="center"/>
    </xf>
    <xf numFmtId="9" fontId="15" fillId="3" borderId="0" xfId="2" applyNumberFormat="1" applyFont="1" applyFill="1"/>
    <xf numFmtId="0" fontId="15" fillId="3" borderId="0" xfId="0" applyFont="1" applyFill="1" applyAlignment="1">
      <alignment horizontal="left" vertical="top"/>
    </xf>
    <xf numFmtId="0" fontId="15" fillId="3" borderId="0" xfId="0" applyFont="1" applyFill="1" applyAlignment="1">
      <alignment horizontal="center"/>
    </xf>
    <xf numFmtId="165" fontId="15" fillId="3" borderId="0" xfId="0" applyNumberFormat="1" applyFont="1" applyFill="1" applyAlignment="1">
      <alignment horizontal="center"/>
    </xf>
    <xf numFmtId="0" fontId="15" fillId="3" borderId="0" xfId="0" applyFont="1" applyFill="1" applyAlignment="1">
      <alignment horizontal="justify" vertical="top" wrapText="1"/>
    </xf>
    <xf numFmtId="0" fontId="20" fillId="3" borderId="0" xfId="0" applyFont="1" applyFill="1" applyAlignment="1">
      <alignment horizontal="center" vertical="center"/>
    </xf>
    <xf numFmtId="0" fontId="15" fillId="3" borderId="0" xfId="0" applyFont="1" applyFill="1"/>
    <xf numFmtId="0" fontId="33" fillId="0" borderId="0" xfId="2" applyFont="1" applyAlignment="1">
      <alignment horizontal="center"/>
    </xf>
    <xf numFmtId="0" fontId="34" fillId="0" borderId="0" xfId="2" applyFont="1" applyAlignment="1">
      <alignment horizontal="center" vertical="center"/>
    </xf>
    <xf numFmtId="0" fontId="14" fillId="0" borderId="7" xfId="2" applyFont="1" applyBorder="1" applyAlignment="1">
      <alignment horizontal="center" vertical="center" wrapText="1"/>
    </xf>
    <xf numFmtId="0" fontId="14" fillId="0" borderId="6" xfId="2" applyFont="1" applyBorder="1" applyAlignment="1">
      <alignment horizontal="center" vertical="center"/>
    </xf>
    <xf numFmtId="0" fontId="30" fillId="0" borderId="21" xfId="0" applyFont="1" applyFill="1" applyBorder="1" applyAlignment="1">
      <alignment horizontal="center"/>
    </xf>
    <xf numFmtId="0" fontId="30" fillId="0" borderId="0" xfId="0" applyFont="1" applyFill="1" applyBorder="1" applyAlignment="1">
      <alignment horizontal="center"/>
    </xf>
    <xf numFmtId="0" fontId="30" fillId="0" borderId="22" xfId="0" applyFont="1" applyFill="1" applyBorder="1" applyAlignment="1">
      <alignment horizontal="center"/>
    </xf>
    <xf numFmtId="0" fontId="29" fillId="0" borderId="21" xfId="0" applyFont="1" applyFill="1" applyBorder="1" applyAlignment="1">
      <alignment horizontal="center"/>
    </xf>
    <xf numFmtId="0" fontId="29" fillId="0" borderId="0" xfId="0" applyFont="1" applyFill="1" applyBorder="1" applyAlignment="1">
      <alignment horizontal="center"/>
    </xf>
    <xf numFmtId="0" fontId="29" fillId="0" borderId="22" xfId="0" applyFont="1" applyFill="1" applyBorder="1" applyAlignment="1">
      <alignment horizontal="center"/>
    </xf>
    <xf numFmtId="0" fontId="35" fillId="0" borderId="21" xfId="0" applyFont="1" applyFill="1" applyBorder="1" applyAlignment="1">
      <alignment horizontal="center"/>
    </xf>
    <xf numFmtId="0" fontId="35" fillId="0" borderId="0" xfId="0" applyFont="1" applyFill="1" applyBorder="1" applyAlignment="1">
      <alignment horizontal="center"/>
    </xf>
    <xf numFmtId="0" fontId="35" fillId="0" borderId="22" xfId="0" applyFont="1" applyFill="1" applyBorder="1" applyAlignment="1">
      <alignment horizontal="center"/>
    </xf>
    <xf numFmtId="0" fontId="30" fillId="3" borderId="21" xfId="0" applyFont="1" applyFill="1" applyBorder="1" applyAlignment="1">
      <alignment horizontal="center"/>
    </xf>
    <xf numFmtId="0" fontId="30" fillId="3" borderId="0" xfId="0" applyFont="1" applyFill="1" applyBorder="1" applyAlignment="1">
      <alignment horizontal="center"/>
    </xf>
    <xf numFmtId="0" fontId="30" fillId="3" borderId="22" xfId="0" applyFont="1" applyFill="1" applyBorder="1" applyAlignment="1">
      <alignment horizontal="center"/>
    </xf>
    <xf numFmtId="0" fontId="22" fillId="0" borderId="21"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22" fillId="0" borderId="22" xfId="0" applyFont="1" applyFill="1" applyBorder="1" applyAlignment="1">
      <alignment horizontal="center" vertical="center" wrapText="1"/>
    </xf>
    <xf numFmtId="0" fontId="9" fillId="0" borderId="1" xfId="6" applyFont="1" applyBorder="1" applyAlignment="1">
      <alignment horizontal="left" vertical="center" wrapText="1"/>
    </xf>
    <xf numFmtId="0" fontId="9" fillId="0" borderId="0" xfId="6" applyFont="1" applyBorder="1" applyAlignment="1">
      <alignment horizontal="left" vertical="center" wrapText="1"/>
    </xf>
    <xf numFmtId="0" fontId="9" fillId="0" borderId="2" xfId="6" applyFont="1" applyBorder="1" applyAlignment="1">
      <alignment horizontal="left" vertical="center" wrapText="1"/>
    </xf>
    <xf numFmtId="0" fontId="7" fillId="0" borderId="26" xfId="6" applyFont="1" applyBorder="1" applyAlignment="1">
      <alignment horizontal="center"/>
    </xf>
    <xf numFmtId="0" fontId="7" fillId="0" borderId="27" xfId="6" applyFont="1" applyBorder="1" applyAlignment="1">
      <alignment horizontal="center"/>
    </xf>
    <xf numFmtId="0" fontId="7" fillId="0" borderId="28" xfId="6" applyFont="1" applyBorder="1" applyAlignment="1">
      <alignment horizontal="center"/>
    </xf>
    <xf numFmtId="0" fontId="4" fillId="0" borderId="1" xfId="6" applyFont="1" applyBorder="1" applyAlignment="1">
      <alignment horizontal="right"/>
    </xf>
    <xf numFmtId="0" fontId="4" fillId="0" borderId="0" xfId="6" applyFont="1" applyBorder="1" applyAlignment="1">
      <alignment horizontal="right"/>
    </xf>
    <xf numFmtId="0" fontId="4" fillId="0" borderId="29" xfId="6" applyFont="1" applyBorder="1" applyAlignment="1">
      <alignment horizontal="center"/>
    </xf>
    <xf numFmtId="0" fontId="4" fillId="0" borderId="30" xfId="6" applyFont="1" applyBorder="1" applyAlignment="1">
      <alignment horizontal="center"/>
    </xf>
    <xf numFmtId="0" fontId="4" fillId="0" borderId="31" xfId="6" applyFont="1" applyBorder="1" applyAlignment="1">
      <alignment horizontal="center"/>
    </xf>
    <xf numFmtId="0" fontId="4" fillId="0" borderId="1" xfId="6" applyFont="1" applyBorder="1" applyAlignment="1">
      <alignment horizontal="center"/>
    </xf>
    <xf numFmtId="0" fontId="4" fillId="0" borderId="0" xfId="6" applyFont="1" applyBorder="1" applyAlignment="1">
      <alignment horizontal="center"/>
    </xf>
    <xf numFmtId="0" fontId="4" fillId="0" borderId="0" xfId="6" applyFont="1" applyBorder="1" applyAlignment="1">
      <alignment horizontal="left"/>
    </xf>
    <xf numFmtId="0" fontId="4" fillId="0" borderId="0" xfId="6" applyFont="1" applyBorder="1" applyAlignment="1">
      <alignment horizontal="left" vertical="top"/>
    </xf>
    <xf numFmtId="0" fontId="4" fillId="3" borderId="1" xfId="6" applyFont="1" applyFill="1" applyBorder="1" applyAlignment="1">
      <alignment horizontal="center" wrapText="1"/>
    </xf>
    <xf numFmtId="0" fontId="4" fillId="3" borderId="0" xfId="6" applyFont="1" applyFill="1" applyBorder="1" applyAlignment="1">
      <alignment horizontal="center" wrapText="1"/>
    </xf>
    <xf numFmtId="0" fontId="4" fillId="3" borderId="2" xfId="6" applyFont="1" applyFill="1" applyBorder="1" applyAlignment="1">
      <alignment horizontal="center" wrapText="1"/>
    </xf>
    <xf numFmtId="0" fontId="22" fillId="3" borderId="0" xfId="0" applyFont="1" applyFill="1" applyAlignment="1">
      <alignment horizontal="left" vertical="top" wrapText="1"/>
    </xf>
    <xf numFmtId="0" fontId="15" fillId="3" borderId="0" xfId="0" applyFont="1" applyFill="1" applyAlignment="1">
      <alignment horizontal="center"/>
    </xf>
    <xf numFmtId="0" fontId="27" fillId="0" borderId="0" xfId="0" applyFont="1" applyBorder="1" applyAlignment="1">
      <alignment horizontal="center"/>
    </xf>
    <xf numFmtId="0" fontId="15" fillId="0" borderId="12" xfId="0" applyFont="1" applyBorder="1" applyAlignment="1">
      <alignment horizontal="justify" vertical="justify" wrapText="1"/>
    </xf>
    <xf numFmtId="2" fontId="27" fillId="0" borderId="0" xfId="0" applyNumberFormat="1" applyFont="1" applyBorder="1" applyAlignment="1">
      <alignment horizontal="center" vertical="center"/>
    </xf>
    <xf numFmtId="0" fontId="38" fillId="0" borderId="0" xfId="0" applyFont="1" applyAlignment="1">
      <alignment horizontal="center" vertical="top" wrapText="1"/>
    </xf>
    <xf numFmtId="0" fontId="20" fillId="0" borderId="0" xfId="0" applyFont="1" applyBorder="1" applyAlignment="1">
      <alignment horizontal="center"/>
    </xf>
    <xf numFmtId="0" fontId="36" fillId="0" borderId="0" xfId="0" applyFont="1" applyAlignment="1">
      <alignment horizontal="center" vertical="top" wrapText="1"/>
    </xf>
    <xf numFmtId="0" fontId="26" fillId="3" borderId="0" xfId="0" applyFont="1" applyFill="1" applyBorder="1" applyAlignment="1">
      <alignment horizontal="center" vertical="center" wrapText="1"/>
    </xf>
    <xf numFmtId="0" fontId="37" fillId="0" borderId="0" xfId="0" applyFont="1" applyBorder="1" applyAlignment="1">
      <alignment horizontal="center" vertical="top"/>
    </xf>
    <xf numFmtId="0" fontId="20" fillId="0" borderId="0" xfId="0" applyFont="1" applyAlignment="1">
      <alignment horizontal="center" vertical="top" wrapText="1"/>
    </xf>
    <xf numFmtId="0" fontId="20" fillId="0" borderId="0" xfId="0" applyFont="1" applyAlignment="1">
      <alignment horizontal="center" vertical="center"/>
    </xf>
    <xf numFmtId="0" fontId="20" fillId="3" borderId="0" xfId="0" applyFont="1" applyFill="1" applyAlignment="1">
      <alignment horizontal="center" vertical="center"/>
    </xf>
    <xf numFmtId="0" fontId="26" fillId="3" borderId="0" xfId="2" applyFont="1" applyFill="1" applyAlignment="1">
      <alignment horizontal="center" vertical="top" wrapText="1"/>
    </xf>
    <xf numFmtId="0" fontId="27" fillId="0" borderId="0" xfId="2" applyFont="1" applyFill="1" applyAlignment="1">
      <alignment horizontal="center" vertical="top" wrapText="1"/>
    </xf>
    <xf numFmtId="2" fontId="27" fillId="0" borderId="0" xfId="2" applyNumberFormat="1" applyFont="1" applyFill="1" applyAlignment="1">
      <alignment horizontal="justify" vertical="top"/>
    </xf>
    <xf numFmtId="0" fontId="27" fillId="0" borderId="0" xfId="2" applyFont="1" applyFill="1" applyAlignment="1">
      <alignment horizontal="justify" vertical="top"/>
    </xf>
    <xf numFmtId="2" fontId="27" fillId="0" borderId="0" xfId="2" applyNumberFormat="1" applyFont="1" applyFill="1" applyAlignment="1">
      <alignment horizontal="justify" vertical="top" wrapText="1"/>
    </xf>
    <xf numFmtId="0" fontId="15" fillId="3" borderId="0" xfId="2" applyFont="1" applyFill="1" applyAlignment="1">
      <alignment horizontal="center" wrapText="1"/>
    </xf>
    <xf numFmtId="2" fontId="27" fillId="0" borderId="0" xfId="2" applyNumberFormat="1" applyFont="1" applyAlignment="1">
      <alignment horizontal="justify" vertical="top" wrapText="1"/>
    </xf>
    <xf numFmtId="2" fontId="27" fillId="3" borderId="0" xfId="2" applyNumberFormat="1" applyFont="1" applyFill="1" applyAlignment="1">
      <alignment horizontal="center"/>
    </xf>
    <xf numFmtId="2" fontId="27" fillId="0" borderId="0" xfId="2" applyNumberFormat="1" applyFont="1" applyFill="1" applyAlignment="1">
      <alignment horizontal="center"/>
    </xf>
    <xf numFmtId="0" fontId="15" fillId="0" borderId="0" xfId="0" applyFont="1" applyAlignment="1">
      <alignment horizontal="left" vertical="top"/>
    </xf>
    <xf numFmtId="0" fontId="39" fillId="3" borderId="0" xfId="0" applyFont="1" applyFill="1" applyBorder="1" applyAlignment="1">
      <alignment horizontal="center" vertical="center" wrapText="1"/>
    </xf>
    <xf numFmtId="2" fontId="37" fillId="0" borderId="0" xfId="0" applyNumberFormat="1" applyFont="1" applyBorder="1" applyAlignment="1">
      <alignment horizontal="center" vertical="center" wrapText="1"/>
    </xf>
    <xf numFmtId="2" fontId="20" fillId="0" borderId="0" xfId="0" applyNumberFormat="1" applyFont="1" applyBorder="1" applyAlignment="1">
      <alignment vertical="center" wrapText="1"/>
    </xf>
    <xf numFmtId="0" fontId="17" fillId="0" borderId="0" xfId="0" applyFont="1" applyBorder="1" applyAlignment="1">
      <alignment horizontal="center"/>
    </xf>
    <xf numFmtId="2" fontId="20" fillId="0" borderId="0" xfId="0" applyNumberFormat="1" applyFont="1" applyBorder="1" applyAlignment="1">
      <alignment horizontal="justify" vertical="top" wrapText="1"/>
    </xf>
    <xf numFmtId="2" fontId="20" fillId="0" borderId="0" xfId="0" applyNumberFormat="1" applyFont="1" applyAlignment="1">
      <alignment horizontal="left" vertical="center" wrapText="1"/>
    </xf>
    <xf numFmtId="0" fontId="20" fillId="0" borderId="0" xfId="0" applyFont="1" applyAlignment="1">
      <alignment horizontal="center"/>
    </xf>
    <xf numFmtId="0" fontId="40" fillId="3" borderId="0" xfId="0" applyFont="1" applyFill="1" applyAlignment="1">
      <alignment horizontal="center"/>
    </xf>
    <xf numFmtId="0" fontId="2" fillId="3" borderId="0" xfId="0" applyFont="1" applyFill="1" applyAlignment="1">
      <alignment horizontal="center"/>
    </xf>
    <xf numFmtId="2" fontId="17" fillId="0" borderId="0" xfId="0" applyNumberFormat="1" applyFont="1" applyAlignment="1">
      <alignment horizontal="left" vertical="top" wrapText="1"/>
    </xf>
    <xf numFmtId="2" fontId="20" fillId="0" borderId="0" xfId="0" applyNumberFormat="1" applyFont="1" applyAlignment="1">
      <alignment horizontal="left" vertical="top" wrapText="1"/>
    </xf>
    <xf numFmtId="2" fontId="20" fillId="0" borderId="0" xfId="0" applyNumberFormat="1" applyFont="1" applyBorder="1" applyAlignment="1">
      <alignment horizontal="center" vertical="center"/>
    </xf>
    <xf numFmtId="2" fontId="20" fillId="0" borderId="0" xfId="0" applyNumberFormat="1" applyFont="1" applyAlignment="1">
      <alignment horizontal="justify" vertical="top" wrapText="1"/>
    </xf>
    <xf numFmtId="2" fontId="20" fillId="0" borderId="0" xfId="0" applyNumberFormat="1" applyFont="1" applyBorder="1" applyAlignment="1">
      <alignment horizontal="left" vertical="center" wrapText="1"/>
    </xf>
  </cellXfs>
  <cellStyles count="7">
    <cellStyle name="Comma" xfId="1" builtinId="3"/>
    <cellStyle name="Normal" xfId="0" builtinId="0"/>
    <cellStyle name="Normal 2" xfId="2" xr:uid="{00000000-0005-0000-0000-000002000000}"/>
    <cellStyle name="Normal 3" xfId="3" xr:uid="{00000000-0005-0000-0000-000003000000}"/>
    <cellStyle name="Normal 4" xfId="4" xr:uid="{00000000-0005-0000-0000-000004000000}"/>
    <cellStyle name="Normal_flank&amp;bar&amp;abstract 2" xfId="5" xr:uid="{00000000-0005-0000-0000-000005000000}"/>
    <cellStyle name="Normal_manor"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4</xdr:col>
      <xdr:colOff>85725</xdr:colOff>
      <xdr:row>3</xdr:row>
      <xdr:rowOff>38100</xdr:rowOff>
    </xdr:from>
    <xdr:to>
      <xdr:col>5</xdr:col>
      <xdr:colOff>247650</xdr:colOff>
      <xdr:row>10</xdr:row>
      <xdr:rowOff>9525</xdr:rowOff>
    </xdr:to>
    <xdr:pic>
      <xdr:nvPicPr>
        <xdr:cNvPr id="2634" name="Picture 1">
          <a:extLst>
            <a:ext uri="{FF2B5EF4-FFF2-40B4-BE49-F238E27FC236}">
              <a16:creationId xmlns:a16="http://schemas.microsoft.com/office/drawing/2014/main" id="{B7A1E7B2-7D94-511F-4198-56970E6B71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24125" y="561975"/>
          <a:ext cx="8763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asim/2014-15/TMID/Flood%20calculation%20estimate/Ulhas%2032%20RE/1%20flood%20line%20marking%20Khandala%20to%20Kondan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asim/2014-15/TMID/Flood%20calculation%20estimate/Ulhas%2032%20RE/3%20flood%20line%20marking%20Shirse%20to%20Posar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ndrive2/IMP/Kalwa/Pali/Estimate/Civil%20work/Pali%20repair%2016-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ace sheet"/>
      <sheetName val="abst"/>
      <sheetName val="Mst"/>
      <sheetName val="R.A"/>
      <sheetName val="schB"/>
    </sheetNames>
    <sheetDataSet>
      <sheetData sheetId="0"/>
      <sheetData sheetId="1"/>
      <sheetData sheetId="2">
        <row r="6">
          <cell r="D6" t="str">
            <v xml:space="preserve">Clearing and removing grass,bushes &amp; shrubs etc &amp; stacking the stuff  up to lead  15 m  &amp; lift 1.5 m </v>
          </cell>
          <cell r="F6" t="str">
            <v>Sqm</v>
          </cell>
        </row>
        <row r="7">
          <cell r="D7" t="str">
            <v>Carrying Bench Mark from G.T.S. Bench Mark location to starting point with Auto level including closing the survey etc. complete.</v>
          </cell>
          <cell r="F7" t="str">
            <v>Km</v>
          </cell>
        </row>
        <row r="8">
          <cell r="D8" t="str">
            <v>Contour survey including taking levels @ 10 m x 10 m blocks by using Total station Instrument, including Transportation Labour &amp; Technical Person etc. complete.</v>
          </cell>
          <cell r="F8" t="str">
            <v>Hect</v>
          </cell>
        </row>
        <row r="9">
          <cell r="D9" t="str">
            <v>Detailed Survey for River including necessary chain compassing, levelling taking L-Section &amp; taking Cross Sections and other details by using Total station Instrument, including Transportation Labour &amp; Technical Person etc. complete.</v>
          </cell>
          <cell r="F9" t="str">
            <v>Km</v>
          </cell>
        </row>
        <row r="10">
          <cell r="D10" t="str">
            <v>Providing and fixing chainage ,stone, appexes, bench mark  in cement concrete 1 : 4 : 8 block of size 45 x 45 x 60 cm. including , excavation, conveyance etc. complete.</v>
          </cell>
          <cell r="F10" t="str">
            <v>Rmt</v>
          </cell>
        </row>
      </sheetData>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ace sheet"/>
      <sheetName val="abst"/>
      <sheetName val="Mst"/>
      <sheetName val="R.A"/>
      <sheetName val="SchB"/>
    </sheetNames>
    <sheetDataSet>
      <sheetData sheetId="0" refreshError="1"/>
      <sheetData sheetId="1" refreshError="1"/>
      <sheetData sheetId="2">
        <row r="6">
          <cell r="E6">
            <v>4.95</v>
          </cell>
        </row>
        <row r="7">
          <cell r="E7">
            <v>2083.15</v>
          </cell>
        </row>
        <row r="8">
          <cell r="E8">
            <v>1188.75</v>
          </cell>
        </row>
        <row r="9">
          <cell r="E9">
            <v>11110</v>
          </cell>
        </row>
        <row r="10">
          <cell r="E10">
            <v>554.4</v>
          </cell>
        </row>
      </sheetData>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Face Sheet"/>
      <sheetName val="Recapitulation Sheet"/>
      <sheetName val="Abstract"/>
      <sheetName val="Mmts"/>
      <sheetName val="Lead Statement"/>
      <sheetName val="Rate Analysis"/>
      <sheetName val="design"/>
    </sheetNames>
    <sheetDataSet>
      <sheetData sheetId="0">
        <row r="27">
          <cell r="A27" t="str">
            <v>Name of Work :-</v>
          </cell>
        </row>
      </sheetData>
      <sheetData sheetId="1" refreshError="1"/>
      <sheetData sheetId="2"/>
      <sheetData sheetId="3"/>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opLeftCell="A2" workbookViewId="0">
      <selection activeCell="F7" sqref="A1:G11"/>
    </sheetView>
  </sheetViews>
  <sheetFormatPr defaultRowHeight="15"/>
  <cols>
    <col min="1" max="1" width="10.7109375" style="30" bestFit="1" customWidth="1"/>
    <col min="2" max="2" width="10" style="30" customWidth="1"/>
    <col min="3" max="3" width="60.85546875" style="30" customWidth="1"/>
    <col min="4" max="4" width="5" style="30" bestFit="1" customWidth="1"/>
    <col min="5" max="5" width="9.5703125" style="30" bestFit="1" customWidth="1"/>
    <col min="6" max="6" width="25" style="30" bestFit="1" customWidth="1"/>
    <col min="7" max="7" width="14" style="30" customWidth="1"/>
    <col min="8" max="16384" width="9.140625" style="30"/>
  </cols>
  <sheetData>
    <row r="1" spans="1:7" ht="44.25" customHeight="1">
      <c r="A1" s="266" t="s">
        <v>35</v>
      </c>
      <c r="B1" s="266"/>
      <c r="C1" s="266"/>
      <c r="D1" s="266"/>
      <c r="E1" s="266"/>
      <c r="F1" s="266"/>
      <c r="G1" s="266"/>
    </row>
    <row r="2" spans="1:7" ht="29.25" customHeight="1">
      <c r="A2" s="267" t="str">
        <f>cover!A24</f>
        <v>Carrying out survey and investigation for KT weir on {{River}} River of  near {{Village}} village Tal. {{Taluka}} Dist. {{District}}</v>
      </c>
      <c r="B2" s="267"/>
      <c r="C2" s="267"/>
      <c r="D2" s="267"/>
      <c r="E2" s="267"/>
      <c r="F2" s="267"/>
      <c r="G2" s="267"/>
    </row>
    <row r="3" spans="1:7" s="31" customFormat="1" ht="15.75">
      <c r="A3" s="268" t="s">
        <v>10</v>
      </c>
      <c r="B3" s="268" t="s">
        <v>36</v>
      </c>
      <c r="C3" s="268"/>
      <c r="D3" s="268" t="s">
        <v>11</v>
      </c>
      <c r="E3" s="268" t="s">
        <v>12</v>
      </c>
      <c r="F3" s="268"/>
      <c r="G3" s="268" t="s">
        <v>13</v>
      </c>
    </row>
    <row r="4" spans="1:7" s="31" customFormat="1" ht="15.75">
      <c r="A4" s="268"/>
      <c r="B4" s="268"/>
      <c r="C4" s="268"/>
      <c r="D4" s="268"/>
      <c r="E4" s="32" t="s">
        <v>37</v>
      </c>
      <c r="F4" s="32" t="s">
        <v>38</v>
      </c>
      <c r="G4" s="268"/>
    </row>
    <row r="5" spans="1:7" s="37" customFormat="1" ht="31.5">
      <c r="A5" s="33" t="e">
        <f>#REF!</f>
        <v>#REF!</v>
      </c>
      <c r="B5" s="34" t="s">
        <v>39</v>
      </c>
      <c r="C5" s="35" t="str">
        <f>[1]abst!D6</f>
        <v xml:space="preserve">Clearing and removing grass,bushes &amp; shrubs etc &amp; stacking the stuff  up to lead  15 m  &amp; lift 1.5 m </v>
      </c>
      <c r="D5" s="36" t="str">
        <f>[1]abst!F6</f>
        <v>Sqm</v>
      </c>
      <c r="E5" s="36">
        <f>[2]abst!E6</f>
        <v>4.95</v>
      </c>
      <c r="F5" s="35" t="s">
        <v>40</v>
      </c>
      <c r="G5" s="33" t="e">
        <f>#REF!</f>
        <v>#REF!</v>
      </c>
    </row>
    <row r="6" spans="1:7" s="37" customFormat="1" ht="47.25">
      <c r="A6" s="33" t="e">
        <f>#REF!</f>
        <v>#REF!</v>
      </c>
      <c r="B6" s="34" t="s">
        <v>41</v>
      </c>
      <c r="C6" s="35" t="str">
        <f>[1]abst!D7</f>
        <v>Carrying Bench Mark from G.T.S. Bench Mark location to starting point with Auto level including closing the survey etc. complete.</v>
      </c>
      <c r="D6" s="36" t="str">
        <f>[1]abst!F7</f>
        <v>Km</v>
      </c>
      <c r="E6" s="36">
        <f>[2]abst!E7</f>
        <v>2083.15</v>
      </c>
      <c r="F6" s="35" t="s">
        <v>42</v>
      </c>
      <c r="G6" s="33" t="e">
        <f>#REF!</f>
        <v>#REF!</v>
      </c>
    </row>
    <row r="7" spans="1:7" s="37" customFormat="1" ht="63">
      <c r="A7" s="33" t="e">
        <f>#REF!</f>
        <v>#REF!</v>
      </c>
      <c r="B7" s="34" t="s">
        <v>43</v>
      </c>
      <c r="C7" s="35" t="str">
        <f>[1]abst!D8</f>
        <v>Contour survey including taking levels @ 10 m x 10 m blocks by using Total station Instrument, including Transportation Labour &amp; Technical Person etc. complete.</v>
      </c>
      <c r="D7" s="36" t="str">
        <f>[1]abst!F8</f>
        <v>Hect</v>
      </c>
      <c r="E7" s="36">
        <f>[2]abst!E8</f>
        <v>1188.75</v>
      </c>
      <c r="F7" s="35" t="s">
        <v>50</v>
      </c>
      <c r="G7" s="33" t="e">
        <f>#REF!</f>
        <v>#REF!</v>
      </c>
    </row>
    <row r="8" spans="1:7" s="37" customFormat="1" ht="63">
      <c r="A8" s="33" t="e">
        <f>#REF!</f>
        <v>#REF!</v>
      </c>
      <c r="B8" s="34" t="s">
        <v>44</v>
      </c>
      <c r="C8" s="35" t="str">
        <f>[1]abst!D9</f>
        <v>Detailed Survey for River including necessary chain compassing, levelling taking L-Section &amp; taking Cross Sections and other details by using Total station Instrument, including Transportation Labour &amp; Technical Person etc. complete.</v>
      </c>
      <c r="D8" s="36" t="str">
        <f>[1]abst!F9</f>
        <v>Km</v>
      </c>
      <c r="E8" s="36">
        <f>[2]abst!E9</f>
        <v>11110</v>
      </c>
      <c r="F8" s="35" t="s">
        <v>49</v>
      </c>
      <c r="G8" s="33" t="e">
        <f>#REF!</f>
        <v>#REF!</v>
      </c>
    </row>
    <row r="9" spans="1:7" s="37" customFormat="1" ht="47.25">
      <c r="A9" s="33" t="e">
        <f>#REF!</f>
        <v>#REF!</v>
      </c>
      <c r="B9" s="34" t="s">
        <v>45</v>
      </c>
      <c r="C9" s="35" t="str">
        <f>[1]abst!D10</f>
        <v>Providing and fixing chainage ,stone, appexes, bench mark  in cement concrete 1 : 4 : 8 block of size 45 x 45 x 60 cm. including , excavation, conveyance etc. complete.</v>
      </c>
      <c r="D9" s="36" t="str">
        <f>[1]abst!F10</f>
        <v>Rmt</v>
      </c>
      <c r="E9" s="36">
        <f>[2]abst!E10</f>
        <v>554.4</v>
      </c>
      <c r="F9" s="35" t="s">
        <v>46</v>
      </c>
      <c r="G9" s="33" t="e">
        <f>#REF!</f>
        <v>#REF!</v>
      </c>
    </row>
    <row r="10" spans="1:7" s="37" customFormat="1" ht="15.75">
      <c r="A10" s="34"/>
      <c r="B10" s="34"/>
      <c r="C10" s="38" t="s">
        <v>9</v>
      </c>
      <c r="D10" s="34"/>
      <c r="E10" s="34"/>
      <c r="F10" s="34"/>
      <c r="G10" s="33" t="e">
        <f>SUM(G5:G9)</f>
        <v>#REF!</v>
      </c>
    </row>
    <row r="11" spans="1:7" ht="15.75">
      <c r="A11" s="39"/>
      <c r="B11" s="39"/>
      <c r="C11" s="39"/>
      <c r="D11" s="39"/>
      <c r="E11" s="39"/>
      <c r="F11" s="40" t="s">
        <v>47</v>
      </c>
      <c r="G11" s="41" t="e">
        <f>ROUND(G10,0)</f>
        <v>#REF!</v>
      </c>
    </row>
    <row r="12" spans="1:7" ht="15.75">
      <c r="A12" s="39"/>
      <c r="B12" s="39"/>
      <c r="C12" s="39"/>
      <c r="D12" s="39"/>
      <c r="E12" s="39"/>
      <c r="F12" s="40"/>
      <c r="G12" s="41"/>
    </row>
    <row r="13" spans="1:7" ht="15" customHeight="1">
      <c r="A13" s="265" t="s">
        <v>48</v>
      </c>
      <c r="B13" s="265"/>
      <c r="C13" s="265"/>
      <c r="D13" s="265"/>
      <c r="E13" s="265"/>
      <c r="F13" s="265"/>
      <c r="G13" s="265"/>
    </row>
  </sheetData>
  <mergeCells count="8">
    <mergeCell ref="A13:G13"/>
    <mergeCell ref="A1:G1"/>
    <mergeCell ref="A2:G2"/>
    <mergeCell ref="A3:A4"/>
    <mergeCell ref="B3:C4"/>
    <mergeCell ref="D3:D4"/>
    <mergeCell ref="E3:F3"/>
    <mergeCell ref="G3:G4"/>
  </mergeCells>
  <pageMargins left="0.53" right="0.47" top="1.1200000000000001"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0"/>
  <sheetViews>
    <sheetView tabSelected="1" view="pageBreakPreview" topLeftCell="A3" zoomScale="85" zoomScaleNormal="100" zoomScaleSheetLayoutView="85" workbookViewId="0">
      <selection activeCell="A20" sqref="A20"/>
    </sheetView>
  </sheetViews>
  <sheetFormatPr defaultRowHeight="13.5"/>
  <cols>
    <col min="1" max="4" width="9.140625" style="233"/>
    <col min="5" max="5" width="10.7109375" style="233" customWidth="1"/>
    <col min="6" max="6" width="10" style="233" customWidth="1"/>
    <col min="7" max="8" width="9.140625" style="233"/>
    <col min="9" max="9" width="11.140625" style="233" customWidth="1"/>
    <col min="10" max="10" width="7" style="233" customWidth="1"/>
    <col min="11" max="11" width="7.85546875" style="233" customWidth="1"/>
    <col min="12" max="16384" width="9.140625" style="233"/>
  </cols>
  <sheetData>
    <row r="1" spans="1:9" ht="14.25" thickTop="1">
      <c r="A1" s="230"/>
      <c r="B1" s="231"/>
      <c r="C1" s="231"/>
      <c r="D1" s="231"/>
      <c r="E1" s="231"/>
      <c r="F1" s="231"/>
      <c r="G1" s="231"/>
      <c r="H1" s="231"/>
      <c r="I1" s="232"/>
    </row>
    <row r="2" spans="1:9">
      <c r="A2" s="234"/>
      <c r="B2" s="235"/>
      <c r="C2" s="235"/>
      <c r="D2" s="235"/>
      <c r="E2" s="235"/>
      <c r="F2" s="235"/>
      <c r="G2" s="235"/>
      <c r="H2" s="235"/>
      <c r="I2" s="236"/>
    </row>
    <row r="3" spans="1:9">
      <c r="A3" s="234"/>
      <c r="B3" s="235"/>
      <c r="C3" s="235"/>
      <c r="D3" s="235"/>
      <c r="E3" s="235"/>
      <c r="F3" s="235"/>
      <c r="G3" s="235"/>
      <c r="H3" s="235"/>
      <c r="I3" s="236"/>
    </row>
    <row r="4" spans="1:9">
      <c r="A4" s="234"/>
      <c r="B4" s="235"/>
      <c r="C4" s="235"/>
      <c r="D4" s="235"/>
      <c r="E4" s="235"/>
      <c r="F4" s="235"/>
      <c r="G4" s="235"/>
      <c r="H4" s="235"/>
      <c r="I4" s="236"/>
    </row>
    <row r="5" spans="1:9">
      <c r="A5" s="234"/>
      <c r="B5" s="235"/>
      <c r="C5" s="235"/>
      <c r="D5" s="235"/>
      <c r="E5" s="235"/>
      <c r="F5" s="235"/>
      <c r="G5" s="235"/>
      <c r="H5" s="235"/>
      <c r="I5" s="236"/>
    </row>
    <row r="6" spans="1:9">
      <c r="A6" s="234"/>
      <c r="B6" s="235"/>
      <c r="C6" s="235"/>
      <c r="D6" s="235"/>
      <c r="E6" s="235"/>
      <c r="F6" s="235"/>
      <c r="G6" s="235"/>
      <c r="H6" s="235"/>
      <c r="I6" s="236"/>
    </row>
    <row r="7" spans="1:9">
      <c r="A7" s="234"/>
      <c r="B7" s="235"/>
      <c r="C7" s="235"/>
      <c r="D7" s="235"/>
      <c r="E7" s="235"/>
      <c r="F7" s="235"/>
      <c r="G7" s="235"/>
      <c r="H7" s="235"/>
      <c r="I7" s="236"/>
    </row>
    <row r="8" spans="1:9">
      <c r="A8" s="234"/>
      <c r="B8" s="235"/>
      <c r="C8" s="235"/>
      <c r="D8" s="235"/>
      <c r="E8" s="235"/>
      <c r="F8" s="235"/>
      <c r="G8" s="235"/>
      <c r="H8" s="235"/>
      <c r="I8" s="236"/>
    </row>
    <row r="9" spans="1:9">
      <c r="A9" s="234"/>
      <c r="B9" s="235"/>
      <c r="C9" s="235"/>
      <c r="D9" s="235"/>
      <c r="E9" s="235"/>
      <c r="F9" s="235"/>
      <c r="G9" s="235"/>
      <c r="H9" s="235"/>
      <c r="I9" s="236"/>
    </row>
    <row r="10" spans="1:9">
      <c r="A10" s="234"/>
      <c r="B10" s="235"/>
      <c r="C10" s="235"/>
      <c r="D10" s="235"/>
      <c r="E10" s="235"/>
      <c r="F10" s="235"/>
      <c r="G10" s="235"/>
      <c r="H10" s="235"/>
      <c r="I10" s="236"/>
    </row>
    <row r="11" spans="1:9">
      <c r="A11" s="234"/>
      <c r="B11" s="235"/>
      <c r="C11" s="235"/>
      <c r="D11" s="235"/>
      <c r="E11" s="235"/>
      <c r="F11" s="235"/>
      <c r="G11" s="235"/>
      <c r="H11" s="235"/>
      <c r="I11" s="236"/>
    </row>
    <row r="12" spans="1:9">
      <c r="A12" s="234"/>
      <c r="B12" s="235"/>
      <c r="C12" s="235"/>
      <c r="D12" s="235"/>
      <c r="E12" s="235"/>
      <c r="F12" s="235"/>
      <c r="G12" s="235"/>
      <c r="H12" s="235"/>
      <c r="I12" s="236"/>
    </row>
    <row r="13" spans="1:9" ht="25.5">
      <c r="A13" s="272" t="s">
        <v>21</v>
      </c>
      <c r="B13" s="273"/>
      <c r="C13" s="273"/>
      <c r="D13" s="273"/>
      <c r="E13" s="273"/>
      <c r="F13" s="273"/>
      <c r="G13" s="273"/>
      <c r="H13" s="273"/>
      <c r="I13" s="274"/>
    </row>
    <row r="14" spans="1:9" ht="20.25" customHeight="1">
      <c r="A14" s="237"/>
      <c r="B14" s="238"/>
      <c r="C14" s="238"/>
      <c r="D14" s="238"/>
      <c r="E14" s="238"/>
      <c r="F14" s="238"/>
      <c r="G14" s="238"/>
      <c r="H14" s="238"/>
      <c r="I14" s="239"/>
    </row>
    <row r="15" spans="1:9" ht="23.25">
      <c r="A15" s="275" t="s">
        <v>22</v>
      </c>
      <c r="B15" s="276"/>
      <c r="C15" s="276"/>
      <c r="D15" s="276"/>
      <c r="E15" s="276"/>
      <c r="F15" s="276"/>
      <c r="G15" s="276"/>
      <c r="H15" s="276"/>
      <c r="I15" s="277"/>
    </row>
    <row r="16" spans="1:9" ht="21.75" customHeight="1">
      <c r="A16" s="237"/>
      <c r="B16" s="238"/>
      <c r="C16" s="238"/>
      <c r="D16" s="238"/>
      <c r="E16" s="238"/>
      <c r="F16" s="238"/>
      <c r="G16" s="238"/>
      <c r="H16" s="238"/>
      <c r="I16" s="239"/>
    </row>
    <row r="17" spans="1:9" ht="23.25">
      <c r="A17" s="275" t="s">
        <v>23</v>
      </c>
      <c r="B17" s="276"/>
      <c r="C17" s="276"/>
      <c r="D17" s="276"/>
      <c r="E17" s="276"/>
      <c r="F17" s="276"/>
      <c r="G17" s="276"/>
      <c r="H17" s="276"/>
      <c r="I17" s="277"/>
    </row>
    <row r="18" spans="1:9" ht="20.25" customHeight="1">
      <c r="A18" s="237"/>
      <c r="B18" s="238"/>
      <c r="C18" s="238"/>
      <c r="D18" s="238"/>
      <c r="E18" s="238"/>
      <c r="F18" s="238"/>
      <c r="G18" s="238"/>
      <c r="H18" s="238"/>
      <c r="I18" s="239"/>
    </row>
    <row r="19" spans="1:9" ht="20.25">
      <c r="A19" s="269" t="s">
        <v>249</v>
      </c>
      <c r="B19" s="270"/>
      <c r="C19" s="270"/>
      <c r="D19" s="270"/>
      <c r="E19" s="270"/>
      <c r="F19" s="270"/>
      <c r="G19" s="270"/>
      <c r="H19" s="270"/>
      <c r="I19" s="271"/>
    </row>
    <row r="20" spans="1:9" ht="16.5" customHeight="1">
      <c r="A20" s="240"/>
      <c r="B20" s="241"/>
      <c r="C20" s="241"/>
      <c r="D20" s="241"/>
      <c r="E20" s="241"/>
      <c r="F20" s="241"/>
      <c r="G20" s="241"/>
      <c r="H20" s="241"/>
      <c r="I20" s="242"/>
    </row>
    <row r="21" spans="1:9" ht="20.25">
      <c r="A21" s="278" t="s">
        <v>224</v>
      </c>
      <c r="B21" s="279"/>
      <c r="C21" s="279"/>
      <c r="D21" s="279"/>
      <c r="E21" s="279"/>
      <c r="F21" s="279"/>
      <c r="G21" s="279"/>
      <c r="H21" s="279"/>
      <c r="I21" s="280"/>
    </row>
    <row r="22" spans="1:9" ht="20.25">
      <c r="A22" s="240"/>
      <c r="B22" s="241"/>
      <c r="C22" s="241"/>
      <c r="D22" s="241"/>
      <c r="E22" s="241"/>
      <c r="F22" s="241"/>
      <c r="G22" s="241"/>
      <c r="H22" s="241"/>
      <c r="I22" s="242"/>
    </row>
    <row r="23" spans="1:9" ht="20.25" customHeight="1">
      <c r="A23" s="240"/>
      <c r="B23" s="241"/>
      <c r="C23" s="241"/>
      <c r="D23" s="241"/>
      <c r="E23" s="241"/>
      <c r="F23" s="241"/>
      <c r="G23" s="241"/>
      <c r="H23" s="241"/>
      <c r="I23" s="242"/>
    </row>
    <row r="24" spans="1:9" ht="24.95" customHeight="1">
      <c r="A24" s="281" t="s">
        <v>225</v>
      </c>
      <c r="B24" s="282"/>
      <c r="C24" s="282"/>
      <c r="D24" s="282"/>
      <c r="E24" s="282"/>
      <c r="F24" s="282"/>
      <c r="G24" s="282"/>
      <c r="H24" s="282"/>
      <c r="I24" s="283"/>
    </row>
    <row r="25" spans="1:9" ht="24.95" customHeight="1">
      <c r="A25" s="281"/>
      <c r="B25" s="282"/>
      <c r="C25" s="282"/>
      <c r="D25" s="282"/>
      <c r="E25" s="282"/>
      <c r="F25" s="282"/>
      <c r="G25" s="282"/>
      <c r="H25" s="282"/>
      <c r="I25" s="283"/>
    </row>
    <row r="26" spans="1:9" ht="24.95" customHeight="1">
      <c r="A26" s="243"/>
      <c r="B26" s="244"/>
      <c r="C26" s="244"/>
      <c r="D26" s="244"/>
      <c r="E26" s="244"/>
      <c r="F26" s="244"/>
      <c r="G26" s="244"/>
      <c r="H26" s="244"/>
      <c r="I26" s="245"/>
    </row>
    <row r="27" spans="1:9" ht="19.5">
      <c r="A27" s="246"/>
      <c r="B27" s="247"/>
      <c r="C27" s="247"/>
      <c r="D27" s="247"/>
      <c r="E27" s="247"/>
      <c r="F27" s="247"/>
      <c r="G27" s="247"/>
      <c r="H27" s="247"/>
      <c r="I27" s="248"/>
    </row>
    <row r="28" spans="1:9" ht="19.5">
      <c r="A28" s="246"/>
      <c r="B28" s="247"/>
      <c r="C28" s="247"/>
      <c r="D28" s="247"/>
      <c r="E28" s="247"/>
      <c r="F28" s="247"/>
      <c r="G28" s="247"/>
      <c r="H28" s="247"/>
      <c r="I28" s="248"/>
    </row>
    <row r="29" spans="1:9" ht="19.5">
      <c r="A29" s="246"/>
      <c r="B29" s="247"/>
      <c r="C29" s="247"/>
      <c r="D29" s="247"/>
      <c r="E29" s="247"/>
      <c r="F29" s="247"/>
      <c r="G29" s="247"/>
      <c r="H29" s="247"/>
      <c r="I29" s="248"/>
    </row>
    <row r="30" spans="1:9" ht="19.5">
      <c r="A30" s="246"/>
      <c r="B30" s="247"/>
      <c r="C30" s="247"/>
      <c r="D30" s="247"/>
      <c r="E30" s="247" t="s">
        <v>103</v>
      </c>
      <c r="F30" s="247"/>
      <c r="G30" s="247"/>
      <c r="H30" s="247"/>
      <c r="I30" s="248"/>
    </row>
    <row r="31" spans="1:9" ht="19.5">
      <c r="A31" s="246"/>
      <c r="B31" s="247"/>
      <c r="C31" s="247"/>
      <c r="D31" s="247"/>
      <c r="E31" s="247"/>
      <c r="F31" s="247"/>
      <c r="G31" s="247"/>
      <c r="H31" s="247"/>
      <c r="I31" s="248"/>
    </row>
    <row r="32" spans="1:9" ht="19.5">
      <c r="A32" s="246"/>
      <c r="B32" s="247"/>
      <c r="C32" s="247"/>
      <c r="D32" s="247"/>
      <c r="E32" s="247"/>
      <c r="F32" s="247"/>
      <c r="G32" s="247"/>
      <c r="H32" s="247"/>
      <c r="I32" s="248"/>
    </row>
    <row r="33" spans="1:18" ht="19.5">
      <c r="A33" s="246"/>
      <c r="B33" s="247"/>
      <c r="C33" s="247"/>
      <c r="D33" s="247"/>
      <c r="E33" s="247"/>
      <c r="F33" s="247"/>
      <c r="G33" s="247"/>
      <c r="H33" s="247"/>
      <c r="I33" s="248"/>
    </row>
    <row r="34" spans="1:18" ht="19.5">
      <c r="A34" s="246"/>
      <c r="B34" s="247"/>
      <c r="C34" s="247"/>
      <c r="D34" s="247"/>
      <c r="E34" s="247"/>
      <c r="F34" s="247"/>
      <c r="G34" s="247"/>
      <c r="H34" s="247"/>
      <c r="I34" s="248"/>
    </row>
    <row r="35" spans="1:18">
      <c r="A35" s="234"/>
      <c r="B35" s="235"/>
      <c r="C35" s="235"/>
      <c r="D35" s="235"/>
      <c r="E35" s="235"/>
      <c r="F35" s="235"/>
      <c r="G35" s="235"/>
      <c r="H35" s="235"/>
      <c r="I35" s="236"/>
      <c r="J35" s="235"/>
      <c r="K35" s="235"/>
      <c r="L35" s="235"/>
      <c r="M35" s="235"/>
      <c r="N35" s="235"/>
      <c r="O35" s="235"/>
      <c r="P35" s="235"/>
      <c r="Q35" s="235"/>
      <c r="R35" s="235"/>
    </row>
    <row r="36" spans="1:18">
      <c r="A36" s="234"/>
      <c r="B36" s="235"/>
      <c r="C36" s="235"/>
      <c r="D36" s="235"/>
      <c r="E36" s="235"/>
      <c r="F36" s="235"/>
      <c r="G36" s="235"/>
      <c r="H36" s="235"/>
      <c r="I36" s="236"/>
      <c r="J36" s="235"/>
      <c r="K36" s="235"/>
      <c r="L36" s="235"/>
      <c r="M36" s="235"/>
      <c r="N36" s="235"/>
      <c r="O36" s="235"/>
      <c r="P36" s="235"/>
      <c r="Q36" s="235"/>
      <c r="R36" s="235"/>
    </row>
    <row r="37" spans="1:18" ht="20.25">
      <c r="A37" s="269" t="s">
        <v>238</v>
      </c>
      <c r="B37" s="270"/>
      <c r="C37" s="270"/>
      <c r="D37" s="270"/>
      <c r="E37" s="270"/>
      <c r="F37" s="270"/>
      <c r="G37" s="270"/>
      <c r="H37" s="270"/>
      <c r="I37" s="271"/>
      <c r="J37" s="235"/>
      <c r="K37" s="235"/>
      <c r="L37" s="235"/>
      <c r="M37" s="235"/>
      <c r="N37" s="235"/>
      <c r="O37" s="235"/>
      <c r="P37" s="235"/>
      <c r="Q37" s="235"/>
      <c r="R37" s="235"/>
    </row>
    <row r="38" spans="1:18">
      <c r="A38" s="234"/>
      <c r="B38" s="235"/>
      <c r="C38" s="235"/>
      <c r="D38" s="235"/>
      <c r="E38" s="235"/>
      <c r="F38" s="235"/>
      <c r="G38" s="235"/>
      <c r="H38" s="235"/>
      <c r="I38" s="236"/>
      <c r="J38" s="235"/>
      <c r="K38" s="235"/>
      <c r="L38" s="235"/>
      <c r="M38" s="235"/>
      <c r="N38" s="235"/>
      <c r="O38" s="235"/>
      <c r="P38" s="235"/>
      <c r="Q38" s="235"/>
      <c r="R38" s="235"/>
    </row>
    <row r="39" spans="1:18" ht="14.25" thickBot="1">
      <c r="A39" s="249"/>
      <c r="B39" s="250"/>
      <c r="C39" s="250"/>
      <c r="D39" s="250"/>
      <c r="E39" s="250"/>
      <c r="F39" s="250"/>
      <c r="G39" s="250"/>
      <c r="H39" s="250"/>
      <c r="I39" s="251"/>
      <c r="J39" s="235"/>
      <c r="K39" s="235"/>
      <c r="L39" s="235"/>
      <c r="M39" s="235"/>
      <c r="N39" s="235"/>
      <c r="O39" s="235"/>
      <c r="P39" s="235"/>
      <c r="Q39" s="235"/>
      <c r="R39" s="235"/>
    </row>
    <row r="40" spans="1:18" ht="14.25" thickTop="1"/>
  </sheetData>
  <mergeCells count="7">
    <mergeCell ref="A37:I37"/>
    <mergeCell ref="A13:I13"/>
    <mergeCell ref="A15:I15"/>
    <mergeCell ref="A17:I17"/>
    <mergeCell ref="A19:I19"/>
    <mergeCell ref="A21:I21"/>
    <mergeCell ref="A24:I25"/>
  </mergeCells>
  <printOptions horizontalCentered="1" verticalCentered="1"/>
  <pageMargins left="0.70866141732283472" right="0.70866141732283472" top="0.74803149606299213" bottom="0.74803149606299213" header="0.31496062992125984" footer="0.31496062992125984"/>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1"/>
  <sheetViews>
    <sheetView view="pageBreakPreview" zoomScale="85" zoomScaleNormal="100" zoomScaleSheetLayoutView="85" workbookViewId="0">
      <selection activeCell="A22" sqref="A22"/>
    </sheetView>
  </sheetViews>
  <sheetFormatPr defaultRowHeight="12.75"/>
  <cols>
    <col min="2" max="2" width="14" customWidth="1"/>
    <col min="5" max="5" width="10.140625" customWidth="1"/>
    <col min="7" max="7" width="9.7109375" customWidth="1"/>
    <col min="8" max="8" width="22" customWidth="1"/>
  </cols>
  <sheetData>
    <row r="1" spans="1:8" s="25" customFormat="1" ht="21" customHeight="1">
      <c r="A1" s="287" t="s">
        <v>0</v>
      </c>
      <c r="B1" s="288"/>
      <c r="C1" s="288"/>
      <c r="D1" s="288"/>
      <c r="E1" s="288"/>
      <c r="F1" s="288"/>
      <c r="G1" s="288"/>
      <c r="H1" s="289"/>
    </row>
    <row r="2" spans="1:8" ht="15" customHeight="1">
      <c r="A2" s="1"/>
      <c r="B2" s="2"/>
      <c r="C2" s="2"/>
      <c r="D2" s="2"/>
      <c r="E2" s="2"/>
      <c r="F2" s="2"/>
      <c r="G2" s="3"/>
      <c r="H2" s="4"/>
    </row>
    <row r="3" spans="1:8" ht="15" customHeight="1">
      <c r="A3" s="1"/>
      <c r="B3" s="2"/>
      <c r="C3" s="2"/>
      <c r="D3" s="2"/>
      <c r="E3" s="2"/>
      <c r="F3" s="2"/>
      <c r="G3" s="3"/>
      <c r="H3" s="4"/>
    </row>
    <row r="4" spans="1:8" ht="15" customHeight="1">
      <c r="A4" s="1"/>
      <c r="B4" s="2"/>
      <c r="C4" s="2"/>
      <c r="D4" s="2"/>
      <c r="E4" s="2"/>
      <c r="F4" s="2"/>
      <c r="G4" s="3"/>
      <c r="H4" s="4"/>
    </row>
    <row r="5" spans="1:8" ht="15" customHeight="1">
      <c r="A5" s="5" t="s">
        <v>24</v>
      </c>
      <c r="B5" s="6"/>
      <c r="C5" s="73" t="s">
        <v>224</v>
      </c>
      <c r="D5" s="6"/>
      <c r="E5" s="6"/>
      <c r="F5" s="2"/>
      <c r="G5" s="3"/>
      <c r="H5" s="4"/>
    </row>
    <row r="6" spans="1:8" ht="15" customHeight="1">
      <c r="A6" s="5"/>
      <c r="B6" s="6"/>
      <c r="C6" s="6"/>
      <c r="D6" s="6"/>
      <c r="E6" s="6"/>
      <c r="F6" s="2"/>
      <c r="G6" s="3"/>
      <c r="H6" s="4"/>
    </row>
    <row r="7" spans="1:8" ht="15" customHeight="1">
      <c r="A7" s="5" t="s">
        <v>25</v>
      </c>
      <c r="B7" s="6"/>
      <c r="C7" s="26" t="s">
        <v>26</v>
      </c>
      <c r="D7" s="26" t="s">
        <v>27</v>
      </c>
      <c r="E7" s="6"/>
      <c r="F7" s="2"/>
      <c r="G7" s="3"/>
      <c r="H7" s="4"/>
    </row>
    <row r="8" spans="1:8" ht="15" customHeight="1">
      <c r="A8" s="5"/>
      <c r="B8" s="6"/>
      <c r="C8" s="6"/>
      <c r="D8" s="6"/>
      <c r="E8" s="6"/>
      <c r="F8" s="2"/>
      <c r="G8" s="3"/>
      <c r="H8" s="4"/>
    </row>
    <row r="9" spans="1:8" ht="15" customHeight="1">
      <c r="A9" s="5" t="s">
        <v>28</v>
      </c>
      <c r="B9" s="6"/>
      <c r="C9" s="6" t="s">
        <v>29</v>
      </c>
      <c r="D9" s="6"/>
      <c r="E9" s="6"/>
      <c r="F9" s="2"/>
      <c r="G9" s="3"/>
      <c r="H9" s="4"/>
    </row>
    <row r="10" spans="1:8" ht="15" customHeight="1">
      <c r="A10" s="5"/>
      <c r="B10" s="6"/>
      <c r="C10" s="6"/>
      <c r="D10" s="6"/>
      <c r="E10" s="6"/>
      <c r="F10" s="2"/>
      <c r="G10" s="3"/>
      <c r="H10" s="4"/>
    </row>
    <row r="11" spans="1:8" ht="15" customHeight="1">
      <c r="A11" s="5" t="s">
        <v>30</v>
      </c>
      <c r="B11" s="6"/>
      <c r="C11" s="6" t="s">
        <v>31</v>
      </c>
      <c r="D11" s="6"/>
      <c r="E11" s="6"/>
      <c r="F11" s="2"/>
      <c r="G11" s="3"/>
      <c r="H11" s="4"/>
    </row>
    <row r="12" spans="1:8" ht="15" customHeight="1">
      <c r="A12" s="5"/>
      <c r="B12" s="6"/>
      <c r="C12" s="6"/>
      <c r="D12" s="6"/>
      <c r="E12" s="6"/>
      <c r="F12" s="2"/>
      <c r="G12" s="3"/>
      <c r="H12" s="4"/>
    </row>
    <row r="13" spans="1:8" ht="15" customHeight="1">
      <c r="A13" s="5" t="s">
        <v>1</v>
      </c>
      <c r="B13" s="6"/>
      <c r="C13" s="6" t="s">
        <v>32</v>
      </c>
      <c r="E13" s="6"/>
      <c r="F13" s="2"/>
      <c r="G13" s="3"/>
      <c r="H13" s="4"/>
    </row>
    <row r="14" spans="1:8" ht="15" customHeight="1">
      <c r="A14" s="5"/>
      <c r="B14" s="6"/>
      <c r="C14" s="6"/>
      <c r="D14" s="6"/>
      <c r="E14" s="6"/>
      <c r="F14" s="2"/>
      <c r="G14" s="3"/>
      <c r="H14" s="4"/>
    </row>
    <row r="15" spans="1:8" ht="15" customHeight="1">
      <c r="A15" s="5" t="s">
        <v>2</v>
      </c>
      <c r="B15" s="6"/>
      <c r="C15" s="7" t="s">
        <v>32</v>
      </c>
      <c r="D15" s="2"/>
      <c r="E15" s="8"/>
      <c r="F15" s="8"/>
      <c r="G15" s="8"/>
      <c r="H15" s="9"/>
    </row>
    <row r="16" spans="1:8" ht="15" customHeight="1">
      <c r="A16" s="5" t="s">
        <v>3</v>
      </c>
      <c r="B16" s="6"/>
      <c r="C16" s="7"/>
      <c r="D16" s="2"/>
      <c r="E16" s="7"/>
      <c r="F16" s="7"/>
      <c r="G16" s="7"/>
      <c r="H16" s="10"/>
    </row>
    <row r="17" spans="1:8" ht="15" customHeight="1">
      <c r="A17" s="5"/>
      <c r="B17" s="6"/>
      <c r="C17" s="6"/>
      <c r="D17" s="2"/>
      <c r="E17" s="7"/>
      <c r="F17" s="7"/>
      <c r="G17" s="7"/>
      <c r="H17" s="10"/>
    </row>
    <row r="18" spans="1:8" ht="15" customHeight="1">
      <c r="A18" s="5" t="s">
        <v>4</v>
      </c>
      <c r="B18" s="6"/>
      <c r="C18" s="6"/>
      <c r="D18" s="6"/>
      <c r="E18" s="6"/>
      <c r="F18" s="2"/>
      <c r="G18" s="3"/>
      <c r="H18" s="4"/>
    </row>
    <row r="19" spans="1:8" ht="15" customHeight="1">
      <c r="A19" s="5"/>
      <c r="B19" s="6"/>
      <c r="C19" s="6"/>
      <c r="D19" s="6"/>
      <c r="E19" s="6"/>
      <c r="F19" s="2"/>
      <c r="G19" s="3"/>
      <c r="H19" s="11"/>
    </row>
    <row r="20" spans="1:8" ht="15" customHeight="1">
      <c r="A20" s="5" t="s">
        <v>5</v>
      </c>
      <c r="B20" s="6"/>
      <c r="C20" s="6"/>
      <c r="D20" s="6"/>
      <c r="E20" s="6"/>
      <c r="F20" s="2"/>
      <c r="G20" s="3"/>
      <c r="H20" s="4"/>
    </row>
    <row r="21" spans="1:8" ht="46.5" customHeight="1">
      <c r="A21" s="299" t="s">
        <v>244</v>
      </c>
      <c r="B21" s="300"/>
      <c r="C21" s="300"/>
      <c r="D21" s="300"/>
      <c r="E21" s="300"/>
      <c r="F21" s="300"/>
      <c r="G21" s="300"/>
      <c r="H21" s="301"/>
    </row>
    <row r="22" spans="1:8">
      <c r="A22" s="27"/>
      <c r="B22" s="28"/>
      <c r="C22" s="28"/>
      <c r="D22" s="28"/>
      <c r="E22" s="28"/>
      <c r="F22" s="28"/>
      <c r="G22" s="28"/>
      <c r="H22" s="29"/>
    </row>
    <row r="23" spans="1:8" ht="15" customHeight="1">
      <c r="A23" s="27"/>
      <c r="B23" s="28"/>
      <c r="C23" s="28"/>
      <c r="D23" s="28"/>
      <c r="E23" s="28"/>
      <c r="F23" s="28"/>
      <c r="G23" s="28"/>
      <c r="H23" s="29"/>
    </row>
    <row r="24" spans="1:8" ht="15" customHeight="1">
      <c r="A24" s="290" t="s">
        <v>120</v>
      </c>
      <c r="B24" s="291"/>
      <c r="C24" s="291"/>
      <c r="D24" s="291"/>
      <c r="E24" s="291"/>
      <c r="F24" s="291"/>
      <c r="G24" s="291"/>
      <c r="H24" s="13" t="e">
        <f>'Recapitulation Sheet'!C20</f>
        <v>#VALUE!</v>
      </c>
    </row>
    <row r="25" spans="1:8" ht="15" customHeight="1">
      <c r="A25" s="23"/>
      <c r="B25" s="24"/>
      <c r="C25" s="24"/>
      <c r="D25" s="24"/>
      <c r="E25" s="24"/>
      <c r="F25" s="24"/>
      <c r="G25" s="24"/>
      <c r="H25" s="13"/>
    </row>
    <row r="26" spans="1:8" ht="15" customHeight="1">
      <c r="A26" s="5" t="s">
        <v>6</v>
      </c>
      <c r="B26" s="6"/>
      <c r="C26" s="6"/>
      <c r="D26" s="6"/>
      <c r="E26" s="6"/>
      <c r="F26" s="2"/>
      <c r="G26" s="3"/>
      <c r="H26" s="11"/>
    </row>
    <row r="27" spans="1:8" ht="15" customHeight="1">
      <c r="A27" s="5" t="s">
        <v>7</v>
      </c>
      <c r="B27" s="6"/>
      <c r="C27" s="6"/>
      <c r="D27" s="6"/>
      <c r="E27" s="6"/>
      <c r="F27" s="2"/>
      <c r="G27" s="3"/>
      <c r="H27" s="4"/>
    </row>
    <row r="28" spans="1:8" ht="15" customHeight="1">
      <c r="A28" s="5"/>
      <c r="B28" s="6"/>
      <c r="C28" s="6"/>
      <c r="D28" s="6"/>
      <c r="E28" s="6"/>
      <c r="F28" s="2"/>
      <c r="G28" s="3"/>
      <c r="H28" s="11"/>
    </row>
    <row r="29" spans="1:8" ht="15" customHeight="1">
      <c r="A29" s="5"/>
      <c r="B29" s="6"/>
      <c r="C29" s="6"/>
      <c r="D29" s="6"/>
      <c r="E29" s="6"/>
      <c r="F29" s="2"/>
      <c r="G29" s="3"/>
      <c r="H29" s="4"/>
    </row>
    <row r="30" spans="1:8" ht="15" customHeight="1">
      <c r="A30" s="43" t="s">
        <v>121</v>
      </c>
      <c r="B30" s="7"/>
      <c r="C30" s="297"/>
      <c r="D30" s="297"/>
      <c r="E30" s="297"/>
      <c r="F30" s="2"/>
      <c r="G30" s="14"/>
      <c r="H30" s="4"/>
    </row>
    <row r="31" spans="1:8" ht="15" customHeight="1">
      <c r="A31" s="295"/>
      <c r="B31" s="296"/>
      <c r="C31" s="298"/>
      <c r="D31" s="298"/>
      <c r="E31" s="298"/>
      <c r="F31" s="2"/>
      <c r="G31" s="14"/>
      <c r="H31" s="4"/>
    </row>
    <row r="32" spans="1:8" ht="15" customHeight="1">
      <c r="A32" s="5" t="s">
        <v>104</v>
      </c>
      <c r="B32" s="6"/>
      <c r="C32" s="6"/>
      <c r="D32" s="6"/>
      <c r="E32" s="6"/>
      <c r="F32" s="2"/>
      <c r="G32" s="3"/>
      <c r="H32" s="4"/>
    </row>
    <row r="33" spans="1:8" ht="15" customHeight="1">
      <c r="A33" s="5"/>
      <c r="B33" s="6"/>
      <c r="C33" s="6"/>
      <c r="D33" s="6"/>
      <c r="E33" s="6"/>
      <c r="F33" s="2"/>
      <c r="G33" s="3"/>
      <c r="H33" s="11"/>
    </row>
    <row r="34" spans="1:8" ht="15" customHeight="1">
      <c r="A34" s="292" t="s">
        <v>8</v>
      </c>
      <c r="B34" s="293"/>
      <c r="C34" s="293"/>
      <c r="D34" s="293"/>
      <c r="E34" s="293"/>
      <c r="F34" s="293"/>
      <c r="G34" s="293"/>
      <c r="H34" s="294"/>
    </row>
    <row r="35" spans="1:8" ht="15" customHeight="1">
      <c r="A35" s="5"/>
      <c r="B35" s="6"/>
      <c r="C35" s="6"/>
      <c r="D35" s="6"/>
      <c r="E35" s="6"/>
      <c r="F35" s="2"/>
      <c r="G35" s="2"/>
      <c r="H35" s="12"/>
    </row>
    <row r="36" spans="1:8" ht="27.6" customHeight="1">
      <c r="A36" s="284"/>
      <c r="B36" s="285"/>
      <c r="C36" s="285"/>
      <c r="D36" s="285"/>
      <c r="E36" s="285"/>
      <c r="F36" s="285"/>
      <c r="G36" s="285"/>
      <c r="H36" s="286"/>
    </row>
    <row r="37" spans="1:8" ht="15" customHeight="1">
      <c r="A37" s="15"/>
      <c r="B37" s="2"/>
      <c r="C37" s="2"/>
      <c r="D37" s="2"/>
      <c r="E37" s="2"/>
      <c r="F37" s="2"/>
      <c r="G37" s="2"/>
      <c r="H37" s="12"/>
    </row>
    <row r="38" spans="1:8" ht="15" customHeight="1">
      <c r="A38" s="16"/>
      <c r="B38" s="17"/>
      <c r="C38" s="17"/>
      <c r="D38" s="17"/>
      <c r="E38" s="17"/>
      <c r="F38" s="17"/>
      <c r="G38" s="17"/>
      <c r="H38" s="18"/>
    </row>
    <row r="39" spans="1:8" ht="15" customHeight="1" thickBot="1">
      <c r="A39" s="19"/>
      <c r="B39" s="20"/>
      <c r="C39" s="20"/>
      <c r="D39" s="20"/>
      <c r="E39" s="20"/>
      <c r="F39" s="20"/>
      <c r="G39" s="20"/>
      <c r="H39" s="21"/>
    </row>
    <row r="40" spans="1:8" ht="15" customHeight="1">
      <c r="A40" s="22"/>
      <c r="B40" s="22"/>
      <c r="C40" s="22"/>
      <c r="D40" s="22"/>
      <c r="E40" s="22"/>
      <c r="F40" s="22"/>
      <c r="G40" s="22"/>
      <c r="H40" s="22"/>
    </row>
    <row r="41" spans="1:8" ht="15" customHeight="1"/>
  </sheetData>
  <mergeCells count="8">
    <mergeCell ref="A36:H36"/>
    <mergeCell ref="A1:H1"/>
    <mergeCell ref="A24:G24"/>
    <mergeCell ref="A34:H34"/>
    <mergeCell ref="A31:B31"/>
    <mergeCell ref="C30:E30"/>
    <mergeCell ref="C31:E31"/>
    <mergeCell ref="A21:H21"/>
  </mergeCells>
  <phoneticPr fontId="5" type="noConversion"/>
  <printOptions horizontalCentered="1" verticalCentered="1"/>
  <pageMargins left="0.62992125984251968" right="0.23622047244094491" top="0.74803149606299213" bottom="0.98425196850393704" header="0.51181102362204722" footer="0.51181102362204722"/>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4"/>
  <sheetViews>
    <sheetView view="pageBreakPreview" zoomScale="70" zoomScaleNormal="100" zoomScaleSheetLayoutView="70" workbookViewId="0">
      <selection activeCell="C31" sqref="C31"/>
    </sheetView>
  </sheetViews>
  <sheetFormatPr defaultRowHeight="12.75"/>
  <cols>
    <col min="1" max="1" width="20.85546875" style="78" customWidth="1"/>
    <col min="2" max="2" width="43" style="78" customWidth="1"/>
    <col min="3" max="3" width="18.5703125" style="78" customWidth="1"/>
    <col min="4" max="4" width="3.140625" style="78" customWidth="1"/>
    <col min="5" max="5" width="3.5703125" style="78" customWidth="1"/>
    <col min="6" max="16384" width="9.140625" style="78"/>
  </cols>
  <sheetData>
    <row r="1" spans="1:5" ht="15.75" customHeight="1">
      <c r="A1" s="115" t="str">
        <f>'[3]Cover page'!A27:C27</f>
        <v>Name of Work :-</v>
      </c>
      <c r="B1" s="302" t="str">
        <f>cover!A24</f>
        <v>Carrying out survey and investigation for KT weir on {{River}} River of  near {{Village}} village Tal. {{Taluka}} Dist. {{District}}</v>
      </c>
      <c r="C1" s="302"/>
      <c r="D1" s="302"/>
      <c r="E1" s="302"/>
    </row>
    <row r="2" spans="1:5" ht="39.75" customHeight="1">
      <c r="A2" s="116"/>
      <c r="B2" s="302"/>
      <c r="C2" s="302"/>
      <c r="D2" s="302"/>
      <c r="E2" s="302"/>
    </row>
    <row r="3" spans="1:5" ht="18.75">
      <c r="A3" s="117"/>
      <c r="B3" s="118" t="s">
        <v>112</v>
      </c>
      <c r="C3" s="119"/>
    </row>
    <row r="4" spans="1:5" ht="15.75">
      <c r="A4" s="120"/>
      <c r="B4" s="120"/>
      <c r="C4" s="121"/>
    </row>
    <row r="5" spans="1:5" ht="15.75">
      <c r="A5" s="122" t="s">
        <v>113</v>
      </c>
      <c r="B5" s="123" t="s">
        <v>114</v>
      </c>
      <c r="C5" s="123" t="s">
        <v>115</v>
      </c>
    </row>
    <row r="6" spans="1:5" ht="15.75">
      <c r="A6" s="124"/>
      <c r="B6" s="124"/>
      <c r="C6" s="125"/>
    </row>
    <row r="7" spans="1:5" ht="15.75">
      <c r="A7" s="126"/>
      <c r="B7" s="127"/>
      <c r="C7" s="120"/>
    </row>
    <row r="8" spans="1:5" ht="15.75" customHeight="1">
      <c r="A8" s="126">
        <v>1</v>
      </c>
      <c r="B8" s="305" t="str">
        <f>abst!B1:F1</f>
        <v>Carrying out survey and investigation for KT weir on {{River}} River of  near {{Village}} village Tal. {{Taluka}} Dist. {{District}}</v>
      </c>
      <c r="C8" s="128" t="e">
        <f>abst!F18</f>
        <v>#VALUE!</v>
      </c>
    </row>
    <row r="9" spans="1:5" ht="49.5" customHeight="1">
      <c r="A9" s="126"/>
      <c r="B9" s="305"/>
      <c r="C9" s="129"/>
    </row>
    <row r="10" spans="1:5" ht="15.75">
      <c r="A10" s="124"/>
      <c r="B10" s="130"/>
      <c r="C10" s="131"/>
    </row>
    <row r="11" spans="1:5" ht="15.75">
      <c r="A11" s="132"/>
      <c r="B11" s="133"/>
      <c r="C11" s="133"/>
    </row>
    <row r="12" spans="1:5" ht="15.75">
      <c r="A12" s="127"/>
      <c r="B12" s="134" t="s">
        <v>116</v>
      </c>
      <c r="C12" s="135" t="e">
        <f>SUM(C8:C10)</f>
        <v>#VALUE!</v>
      </c>
    </row>
    <row r="13" spans="1:5" ht="15.75">
      <c r="A13" s="127"/>
      <c r="B13" s="136"/>
      <c r="C13" s="137"/>
    </row>
    <row r="14" spans="1:5" ht="15.75">
      <c r="A14" s="127"/>
      <c r="B14" s="134" t="s">
        <v>123</v>
      </c>
      <c r="C14" s="135" t="e">
        <f>C12*0.18</f>
        <v>#VALUE!</v>
      </c>
    </row>
    <row r="15" spans="1:5" ht="15.75">
      <c r="A15" s="127"/>
      <c r="B15" s="136"/>
      <c r="C15" s="137"/>
    </row>
    <row r="16" spans="1:5" ht="15.75">
      <c r="A16" s="127"/>
      <c r="B16" s="134" t="s">
        <v>117</v>
      </c>
      <c r="C16" s="135" t="e">
        <f>C12*0.01</f>
        <v>#VALUE!</v>
      </c>
    </row>
    <row r="17" spans="1:5" ht="15.75">
      <c r="A17" s="127"/>
      <c r="B17" s="136"/>
      <c r="C17" s="138"/>
    </row>
    <row r="18" spans="1:5" ht="15.75">
      <c r="A18" s="127"/>
      <c r="B18" s="134" t="s">
        <v>118</v>
      </c>
      <c r="C18" s="135" t="e">
        <f>SUM(C12:C16)</f>
        <v>#VALUE!</v>
      </c>
    </row>
    <row r="19" spans="1:5" ht="15.75">
      <c r="A19" s="127"/>
      <c r="B19" s="134"/>
      <c r="C19" s="134"/>
    </row>
    <row r="20" spans="1:5" ht="18.75">
      <c r="A20" s="139"/>
      <c r="B20" s="137" t="s">
        <v>119</v>
      </c>
      <c r="C20" s="140" t="e">
        <f>ROUND(C18,-1)</f>
        <v>#VALUE!</v>
      </c>
    </row>
    <row r="22" spans="1:5" s="141" customFormat="1" ht="15.75"/>
    <row r="23" spans="1:5" s="141" customFormat="1" ht="16.5">
      <c r="A23" s="141" t="s">
        <v>132</v>
      </c>
      <c r="C23" s="142"/>
      <c r="D23" s="142"/>
      <c r="E23" s="142"/>
    </row>
    <row r="24" spans="1:5" s="141" customFormat="1" ht="12.75" customHeight="1">
      <c r="A24" s="143"/>
      <c r="B24" s="144"/>
      <c r="C24" s="306"/>
      <c r="D24" s="306"/>
      <c r="E24" s="306"/>
    </row>
    <row r="25" spans="1:5" s="141" customFormat="1" ht="12.75" customHeight="1">
      <c r="A25" s="143"/>
      <c r="B25" s="144"/>
      <c r="C25" s="304"/>
      <c r="D25" s="304"/>
      <c r="E25" s="304"/>
    </row>
    <row r="26" spans="1:5" s="141" customFormat="1" ht="12.75" customHeight="1">
      <c r="A26" s="144"/>
      <c r="B26" s="144"/>
      <c r="C26" s="304"/>
      <c r="D26" s="304"/>
      <c r="E26" s="304"/>
    </row>
    <row r="27" spans="1:5" s="141" customFormat="1" ht="15.75">
      <c r="A27" s="144"/>
      <c r="B27" s="144"/>
      <c r="C27" s="304"/>
      <c r="D27" s="304"/>
      <c r="E27" s="304"/>
    </row>
    <row r="28" spans="1:5" s="141" customFormat="1" ht="15.75">
      <c r="A28" s="260"/>
      <c r="B28" s="260" t="s">
        <v>134</v>
      </c>
      <c r="C28" s="303" t="s">
        <v>135</v>
      </c>
      <c r="D28" s="303"/>
      <c r="E28" s="303"/>
    </row>
    <row r="29" spans="1:5" s="141" customFormat="1" ht="15.75">
      <c r="A29" s="260" t="s">
        <v>222</v>
      </c>
      <c r="B29" s="260" t="s">
        <v>239</v>
      </c>
      <c r="C29" s="303" t="s">
        <v>241</v>
      </c>
      <c r="D29" s="303"/>
      <c r="E29" s="303"/>
    </row>
    <row r="30" spans="1:5" s="141" customFormat="1" ht="15.75">
      <c r="A30" s="264"/>
      <c r="B30" s="260" t="s">
        <v>240</v>
      </c>
      <c r="C30" s="303" t="s">
        <v>242</v>
      </c>
      <c r="D30" s="303"/>
      <c r="E30" s="303"/>
    </row>
    <row r="31" spans="1:5" s="141" customFormat="1" ht="15.75">
      <c r="B31" s="252"/>
      <c r="C31" s="253"/>
      <c r="D31" s="253"/>
      <c r="E31" s="253"/>
    </row>
    <row r="32" spans="1:5" s="141" customFormat="1" ht="15.75">
      <c r="B32" s="143"/>
    </row>
    <row r="33" spans="2:2" s="141" customFormat="1" ht="15.75">
      <c r="B33" s="143"/>
    </row>
    <row r="34" spans="2:2" s="141" customFormat="1" ht="15.75">
      <c r="B34" s="143"/>
    </row>
    <row r="35" spans="2:2" s="141" customFormat="1" ht="15.75">
      <c r="B35" s="143"/>
    </row>
    <row r="36" spans="2:2" s="141" customFormat="1" ht="15.75">
      <c r="B36" s="143"/>
    </row>
    <row r="37" spans="2:2" s="141" customFormat="1" ht="15.75"/>
    <row r="38" spans="2:2" s="141" customFormat="1" ht="15.75"/>
    <row r="39" spans="2:2" s="141" customFormat="1" ht="15.75"/>
    <row r="40" spans="2:2" s="141" customFormat="1" ht="15.75"/>
    <row r="41" spans="2:2" s="141" customFormat="1" ht="15.75"/>
    <row r="42" spans="2:2" s="141" customFormat="1" ht="15.75">
      <c r="B42" s="143"/>
    </row>
    <row r="43" spans="2:2" s="141" customFormat="1" ht="15.75">
      <c r="B43" s="143"/>
    </row>
    <row r="44" spans="2:2" s="141" customFormat="1" ht="15.75">
      <c r="B44" s="143"/>
    </row>
  </sheetData>
  <mergeCells count="9">
    <mergeCell ref="B1:E2"/>
    <mergeCell ref="C28:E28"/>
    <mergeCell ref="C29:E29"/>
    <mergeCell ref="C30:E30"/>
    <mergeCell ref="C26:E26"/>
    <mergeCell ref="C27:E27"/>
    <mergeCell ref="B8:B9"/>
    <mergeCell ref="C24:E24"/>
    <mergeCell ref="C25:E2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54"/>
  <sheetViews>
    <sheetView view="pageBreakPreview" topLeftCell="A14" zoomScaleNormal="85" zoomScaleSheetLayoutView="100" workbookViewId="0">
      <selection activeCell="C26" sqref="C26"/>
    </sheetView>
  </sheetViews>
  <sheetFormatPr defaultRowHeight="13.5" outlineLevelCol="1"/>
  <cols>
    <col min="1" max="1" width="10.7109375" style="104" customWidth="1"/>
    <col min="2" max="2" width="10.5703125" style="96" customWidth="1"/>
    <col min="3" max="3" width="44.140625" style="104" customWidth="1"/>
    <col min="4" max="4" width="9.42578125" style="96" bestFit="1" customWidth="1"/>
    <col min="5" max="5" width="8.5703125" style="173" customWidth="1"/>
    <col min="6" max="6" width="11.42578125" style="179" customWidth="1"/>
    <col min="7" max="7" width="12.5703125" style="104" bestFit="1" customWidth="1"/>
    <col min="8" max="8" width="9.140625" style="104"/>
    <col min="9" max="9" width="14.42578125" style="104" bestFit="1" customWidth="1"/>
    <col min="10" max="10" width="12.42578125" style="104" hidden="1" customWidth="1" outlineLevel="1"/>
    <col min="11" max="11" width="9.140625" style="104" collapsed="1"/>
    <col min="12" max="16384" width="9.140625" style="104"/>
  </cols>
  <sheetData>
    <row r="1" spans="1:10" ht="44.45" customHeight="1">
      <c r="A1" s="145" t="s">
        <v>131</v>
      </c>
      <c r="B1" s="310" t="str">
        <f>cover!A24</f>
        <v>Carrying out survey and investigation for KT weir on {{River}} River of  near {{Village}} village Tal. {{Taluka}} Dist. {{District}}</v>
      </c>
      <c r="C1" s="310"/>
      <c r="D1" s="310"/>
      <c r="E1" s="310"/>
      <c r="F1" s="310"/>
    </row>
    <row r="2" spans="1:10" ht="18" customHeight="1">
      <c r="B2" s="311" t="s">
        <v>19</v>
      </c>
      <c r="C2" s="311"/>
      <c r="D2" s="311"/>
      <c r="E2" s="311"/>
      <c r="F2" s="311"/>
    </row>
    <row r="3" spans="1:10" ht="21.75" customHeight="1">
      <c r="A3" s="146" t="s">
        <v>207</v>
      </c>
      <c r="B3" s="146" t="s">
        <v>10</v>
      </c>
      <c r="C3" s="146" t="s">
        <v>15</v>
      </c>
      <c r="D3" s="146" t="s">
        <v>12</v>
      </c>
      <c r="E3" s="146" t="s">
        <v>11</v>
      </c>
      <c r="F3" s="146" t="s">
        <v>13</v>
      </c>
      <c r="H3" s="147"/>
    </row>
    <row r="4" spans="1:10" ht="39" customHeight="1">
      <c r="A4" s="148">
        <v>1</v>
      </c>
      <c r="B4" s="149" t="e">
        <f>'Measurement '!G12</f>
        <v>#VALUE!</v>
      </c>
      <c r="C4" s="150" t="s">
        <v>124</v>
      </c>
      <c r="D4" s="149">
        <f>'R.A1'!E9</f>
        <v>4.8500000000000005</v>
      </c>
      <c r="E4" s="149" t="s">
        <v>71</v>
      </c>
      <c r="F4" s="149" t="e">
        <f t="shared" ref="F4:F9" si="0">D4*B4</f>
        <v>#VALUE!</v>
      </c>
      <c r="H4" s="147"/>
    </row>
    <row r="5" spans="1:10" ht="66.75" customHeight="1">
      <c r="A5" s="148">
        <v>2</v>
      </c>
      <c r="B5" s="151">
        <f>'Measurement '!G20</f>
        <v>0</v>
      </c>
      <c r="C5" s="152" t="s">
        <v>125</v>
      </c>
      <c r="D5" s="153">
        <f>'R.A1'!E27</f>
        <v>1216.4000000000001</v>
      </c>
      <c r="E5" s="149" t="s">
        <v>58</v>
      </c>
      <c r="F5" s="149">
        <f t="shared" si="0"/>
        <v>0</v>
      </c>
      <c r="H5" s="147"/>
      <c r="I5" s="104">
        <v>1.1000000000000001</v>
      </c>
      <c r="J5" s="104" t="s">
        <v>64</v>
      </c>
    </row>
    <row r="6" spans="1:10" ht="174" customHeight="1">
      <c r="A6" s="148">
        <v>3</v>
      </c>
      <c r="B6" s="151" t="e">
        <f>'Measurement '!G29</f>
        <v>#VALUE!</v>
      </c>
      <c r="C6" s="152" t="s">
        <v>127</v>
      </c>
      <c r="D6" s="153">
        <f>'R.A1'!E43</f>
        <v>420.65000000000003</v>
      </c>
      <c r="E6" s="149" t="s">
        <v>52</v>
      </c>
      <c r="F6" s="149" t="e">
        <f t="shared" si="0"/>
        <v>#VALUE!</v>
      </c>
      <c r="H6" s="147"/>
    </row>
    <row r="7" spans="1:10" ht="133.5" customHeight="1">
      <c r="A7" s="148">
        <v>4</v>
      </c>
      <c r="B7" s="151" t="e">
        <f>'Measurement '!G37</f>
        <v>#VALUE!</v>
      </c>
      <c r="C7" s="152" t="s">
        <v>145</v>
      </c>
      <c r="D7" s="153">
        <f>'R.A1'!E111</f>
        <v>9134.3000000000011</v>
      </c>
      <c r="E7" s="149" t="str">
        <f>'Measurement '!H37</f>
        <v>Ha</v>
      </c>
      <c r="F7" s="149" t="e">
        <f t="shared" si="0"/>
        <v>#VALUE!</v>
      </c>
      <c r="H7" s="147"/>
    </row>
    <row r="8" spans="1:10" ht="204.6" customHeight="1">
      <c r="A8" s="155">
        <v>5</v>
      </c>
      <c r="B8" s="154" t="e">
        <f>'Measurement '!G44</f>
        <v>#VALUE!</v>
      </c>
      <c r="C8" s="156" t="s">
        <v>128</v>
      </c>
      <c r="D8" s="153">
        <f>'R.A1'!E128</f>
        <v>859.45</v>
      </c>
      <c r="E8" s="153" t="s">
        <v>58</v>
      </c>
      <c r="F8" s="153" t="e">
        <f t="shared" si="0"/>
        <v>#VALUE!</v>
      </c>
      <c r="H8" s="147"/>
    </row>
    <row r="9" spans="1:10" ht="120.75" customHeight="1">
      <c r="A9" s="155">
        <v>6</v>
      </c>
      <c r="B9" s="153">
        <f>'Measurement '!G50</f>
        <v>2</v>
      </c>
      <c r="C9" s="156" t="s">
        <v>126</v>
      </c>
      <c r="D9" s="153">
        <f>'R.A1'!E142</f>
        <v>6565.4500000000007</v>
      </c>
      <c r="E9" s="153" t="str">
        <f>'Measurement '!H50</f>
        <v>no</v>
      </c>
      <c r="F9" s="153">
        <f t="shared" si="0"/>
        <v>13130.900000000001</v>
      </c>
      <c r="H9" s="147"/>
    </row>
    <row r="10" spans="1:10" ht="159.94999999999999" customHeight="1">
      <c r="A10" s="157">
        <v>7</v>
      </c>
      <c r="B10" s="158"/>
      <c r="C10" s="159" t="s">
        <v>65</v>
      </c>
      <c r="D10" s="158"/>
      <c r="E10" s="158"/>
      <c r="F10" s="158"/>
    </row>
    <row r="11" spans="1:10" ht="27">
      <c r="A11" s="160" t="s">
        <v>54</v>
      </c>
      <c r="B11" s="153" t="e">
        <f>'Measurement '!G59</f>
        <v>#VALUE!</v>
      </c>
      <c r="C11" s="150" t="s">
        <v>136</v>
      </c>
      <c r="D11" s="153">
        <f>'R.A1'!E157</f>
        <v>2342.1</v>
      </c>
      <c r="E11" s="153" t="s">
        <v>62</v>
      </c>
      <c r="F11" s="153" t="e">
        <f t="shared" ref="F11:F16" si="1">D11*B11</f>
        <v>#VALUE!</v>
      </c>
    </row>
    <row r="12" spans="1:10">
      <c r="A12" s="160" t="s">
        <v>55</v>
      </c>
      <c r="B12" s="153" t="e">
        <f>'Measurement '!G66</f>
        <v>#VALUE!</v>
      </c>
      <c r="C12" s="150" t="s">
        <v>61</v>
      </c>
      <c r="D12" s="153">
        <f>'R.A1'!E164</f>
        <v>4340.1000000000004</v>
      </c>
      <c r="E12" s="153" t="s">
        <v>62</v>
      </c>
      <c r="F12" s="153" t="e">
        <f t="shared" si="1"/>
        <v>#VALUE!</v>
      </c>
    </row>
    <row r="13" spans="1:10" ht="52.5" customHeight="1">
      <c r="A13" s="155">
        <v>8</v>
      </c>
      <c r="B13" s="153" t="e">
        <f>'Measurement '!G71</f>
        <v>#VALUE!</v>
      </c>
      <c r="C13" s="150" t="s">
        <v>63</v>
      </c>
      <c r="D13" s="153">
        <f>'R.A1'!E178</f>
        <v>2808.2000000000003</v>
      </c>
      <c r="E13" s="153" t="s">
        <v>56</v>
      </c>
      <c r="F13" s="153" t="e">
        <f t="shared" si="1"/>
        <v>#VALUE!</v>
      </c>
    </row>
    <row r="14" spans="1:10" ht="133.5" customHeight="1">
      <c r="A14" s="155">
        <v>9</v>
      </c>
      <c r="B14" s="153">
        <f>'Measurement '!G76</f>
        <v>1</v>
      </c>
      <c r="C14" s="150" t="s">
        <v>205</v>
      </c>
      <c r="D14" s="161">
        <f>'R.A1'!E194</f>
        <v>23991</v>
      </c>
      <c r="E14" s="153" t="s">
        <v>56</v>
      </c>
      <c r="F14" s="153">
        <f t="shared" si="1"/>
        <v>23991</v>
      </c>
    </row>
    <row r="15" spans="1:10" ht="40.5">
      <c r="A15" s="155">
        <v>10</v>
      </c>
      <c r="B15" s="153" t="e">
        <f>'Measurement '!G81</f>
        <v>#VALUE!</v>
      </c>
      <c r="C15" s="156" t="s">
        <v>102</v>
      </c>
      <c r="D15" s="153">
        <f>'R.A1'!E208</f>
        <v>9973.7000000000007</v>
      </c>
      <c r="E15" s="153" t="s">
        <v>56</v>
      </c>
      <c r="F15" s="153" t="e">
        <f t="shared" si="1"/>
        <v>#VALUE!</v>
      </c>
      <c r="J15" s="104" t="s">
        <v>66</v>
      </c>
    </row>
    <row r="16" spans="1:10" ht="40.5" customHeight="1">
      <c r="A16" s="155">
        <v>11</v>
      </c>
      <c r="B16" s="153">
        <f>'Measurement '!G87</f>
        <v>1</v>
      </c>
      <c r="C16" s="156" t="s">
        <v>208</v>
      </c>
      <c r="D16" s="153">
        <f>'R.A1'!E225</f>
        <v>42592</v>
      </c>
      <c r="E16" s="153" t="s">
        <v>56</v>
      </c>
      <c r="F16" s="153">
        <f t="shared" si="1"/>
        <v>42592</v>
      </c>
    </row>
    <row r="17" spans="1:10" ht="15">
      <c r="B17" s="162"/>
      <c r="C17" s="163"/>
      <c r="D17" s="164" t="s">
        <v>9</v>
      </c>
      <c r="E17" s="165" t="s">
        <v>20</v>
      </c>
      <c r="F17" s="166" t="e">
        <f>SUM(F4:F16)</f>
        <v>#VALUE!</v>
      </c>
      <c r="G17" s="93"/>
      <c r="J17" s="167"/>
    </row>
    <row r="18" spans="1:10" ht="16.5">
      <c r="A18" s="313" t="str">
        <f>'Recapitulation Sheet'!A23</f>
        <v>Prepared by</v>
      </c>
      <c r="B18" s="313"/>
      <c r="C18" s="168"/>
      <c r="D18" s="169"/>
      <c r="E18" s="170" t="s">
        <v>34</v>
      </c>
      <c r="F18" s="171" t="e">
        <f>ROUND(F17,0)</f>
        <v>#VALUE!</v>
      </c>
      <c r="G18" s="172"/>
    </row>
    <row r="19" spans="1:10" ht="16.5">
      <c r="B19" s="169"/>
      <c r="C19" s="168"/>
      <c r="D19" s="169"/>
      <c r="E19" s="170"/>
      <c r="F19" s="171"/>
      <c r="G19" s="172"/>
    </row>
    <row r="20" spans="1:10" ht="16.5">
      <c r="B20" s="169"/>
      <c r="C20" s="168"/>
      <c r="D20" s="169"/>
      <c r="E20" s="170"/>
      <c r="F20" s="171"/>
      <c r="G20" s="172"/>
    </row>
    <row r="21" spans="1:10" ht="16.5">
      <c r="B21" s="169"/>
      <c r="C21" s="168"/>
      <c r="D21" s="169"/>
      <c r="E21" s="170"/>
      <c r="F21" s="171"/>
      <c r="G21" s="172"/>
    </row>
    <row r="22" spans="1:10" ht="16.5">
      <c r="A22" s="314"/>
      <c r="B22" s="314"/>
      <c r="C22" s="263" t="str">
        <f>'Recapitulation Sheet'!B28</f>
        <v>Sub Divisional Engineer</v>
      </c>
      <c r="D22" s="314" t="str">
        <f>'Recapitulation Sheet'!C28</f>
        <v>Executive Engineer</v>
      </c>
      <c r="E22" s="314"/>
      <c r="F22" s="314"/>
      <c r="G22" s="172"/>
    </row>
    <row r="23" spans="1:10">
      <c r="A23" s="314" t="str">
        <f>'Recapitulation Sheet'!A29</f>
        <v>Junior Engineer</v>
      </c>
      <c r="B23" s="314"/>
      <c r="C23" s="263" t="str">
        <f>'Recapitulation Sheet'!B29</f>
        <v>{{SDE_1}}</v>
      </c>
      <c r="D23" s="314" t="str">
        <f>'Recapitulation Sheet'!C29</f>
        <v>{{EE_1}}</v>
      </c>
      <c r="E23" s="314"/>
      <c r="F23" s="314"/>
      <c r="G23" s="93"/>
    </row>
    <row r="24" spans="1:10">
      <c r="A24" s="314"/>
      <c r="B24" s="314"/>
      <c r="C24" s="263" t="str">
        <f>'Recapitulation Sheet'!B30</f>
        <v>{{SDE_2}}</v>
      </c>
      <c r="D24" s="314" t="str">
        <f>'Recapitulation Sheet'!C30</f>
        <v>{{EE_2}}</v>
      </c>
      <c r="E24" s="314"/>
      <c r="F24" s="314"/>
      <c r="G24" s="93"/>
    </row>
    <row r="25" spans="1:10" s="93" customFormat="1" ht="13.5" customHeight="1">
      <c r="A25" s="312"/>
      <c r="B25" s="312"/>
      <c r="C25" s="174"/>
      <c r="D25" s="308"/>
      <c r="E25" s="308"/>
      <c r="F25" s="308"/>
      <c r="H25" s="104"/>
    </row>
    <row r="26" spans="1:10" s="93" customFormat="1" ht="13.5" customHeight="1">
      <c r="A26" s="307"/>
      <c r="B26" s="307"/>
      <c r="C26" s="174"/>
      <c r="D26" s="308"/>
      <c r="E26" s="308"/>
      <c r="F26" s="308"/>
      <c r="H26" s="104"/>
    </row>
    <row r="27" spans="1:10" s="93" customFormat="1" ht="13.5" customHeight="1">
      <c r="A27" s="309"/>
      <c r="B27" s="309"/>
      <c r="C27" s="174"/>
      <c r="D27" s="308"/>
      <c r="E27" s="308"/>
      <c r="F27" s="308"/>
      <c r="H27" s="104"/>
    </row>
    <row r="28" spans="1:10" ht="13.5" customHeight="1">
      <c r="B28" s="103"/>
      <c r="C28" s="103"/>
      <c r="D28" s="175"/>
      <c r="E28" s="176"/>
      <c r="F28" s="177"/>
      <c r="G28" s="110"/>
    </row>
    <row r="29" spans="1:10">
      <c r="C29" s="93"/>
      <c r="E29" s="96"/>
      <c r="F29" s="178"/>
      <c r="G29" s="93"/>
    </row>
    <row r="30" spans="1:10">
      <c r="C30" s="93"/>
      <c r="E30" s="96"/>
      <c r="F30" s="178"/>
      <c r="G30" s="93"/>
    </row>
    <row r="31" spans="1:10">
      <c r="C31" s="93"/>
      <c r="E31" s="96"/>
      <c r="F31" s="178"/>
      <c r="G31" s="93"/>
    </row>
    <row r="32" spans="1:10">
      <c r="C32" s="93"/>
      <c r="E32" s="96"/>
      <c r="F32" s="178"/>
      <c r="G32" s="93"/>
    </row>
    <row r="33" spans="3:7">
      <c r="C33" s="93"/>
      <c r="E33" s="96"/>
      <c r="F33" s="178"/>
      <c r="G33" s="93"/>
    </row>
    <row r="34" spans="3:7">
      <c r="C34" s="93"/>
      <c r="E34" s="96"/>
      <c r="F34" s="178"/>
      <c r="G34" s="93"/>
    </row>
    <row r="35" spans="3:7">
      <c r="C35" s="93"/>
      <c r="E35" s="96"/>
      <c r="F35" s="178"/>
      <c r="G35" s="93"/>
    </row>
    <row r="36" spans="3:7">
      <c r="C36" s="93"/>
      <c r="E36" s="96"/>
      <c r="F36" s="178"/>
      <c r="G36" s="93"/>
    </row>
    <row r="37" spans="3:7">
      <c r="C37" s="93"/>
      <c r="E37" s="96"/>
      <c r="F37" s="178"/>
      <c r="G37" s="93"/>
    </row>
    <row r="38" spans="3:7">
      <c r="C38" s="93"/>
      <c r="E38" s="96"/>
      <c r="F38" s="178"/>
      <c r="G38" s="93"/>
    </row>
    <row r="39" spans="3:7">
      <c r="C39" s="93"/>
      <c r="E39" s="96"/>
      <c r="F39" s="178"/>
      <c r="G39" s="93"/>
    </row>
    <row r="40" spans="3:7">
      <c r="C40" s="93"/>
      <c r="E40" s="96"/>
      <c r="F40" s="178"/>
      <c r="G40" s="93"/>
    </row>
    <row r="41" spans="3:7">
      <c r="C41" s="93"/>
      <c r="E41" s="96"/>
      <c r="F41" s="178"/>
      <c r="G41" s="93"/>
    </row>
    <row r="42" spans="3:7">
      <c r="C42" s="93"/>
      <c r="E42" s="96"/>
      <c r="F42" s="178"/>
      <c r="G42" s="93"/>
    </row>
    <row r="43" spans="3:7">
      <c r="C43" s="93"/>
      <c r="E43" s="96"/>
      <c r="F43" s="178"/>
      <c r="G43" s="93"/>
    </row>
    <row r="44" spans="3:7">
      <c r="C44" s="93"/>
      <c r="E44" s="96"/>
      <c r="F44" s="178"/>
      <c r="G44" s="93"/>
    </row>
    <row r="45" spans="3:7">
      <c r="C45" s="93"/>
      <c r="E45" s="96"/>
      <c r="F45" s="178"/>
      <c r="G45" s="93"/>
    </row>
    <row r="46" spans="3:7">
      <c r="C46" s="93"/>
      <c r="E46" s="96"/>
      <c r="F46" s="178"/>
      <c r="G46" s="93"/>
    </row>
    <row r="47" spans="3:7">
      <c r="C47" s="93"/>
      <c r="E47" s="96"/>
      <c r="F47" s="178"/>
      <c r="G47" s="93"/>
    </row>
    <row r="48" spans="3:7">
      <c r="C48" s="93"/>
      <c r="E48" s="96"/>
      <c r="F48" s="178"/>
      <c r="G48" s="93"/>
    </row>
    <row r="49" spans="3:7">
      <c r="C49" s="93"/>
      <c r="E49" s="96"/>
      <c r="F49" s="178"/>
      <c r="G49" s="93"/>
    </row>
    <row r="50" spans="3:7">
      <c r="C50" s="93"/>
      <c r="E50" s="96"/>
      <c r="F50" s="178"/>
      <c r="G50" s="93"/>
    </row>
    <row r="51" spans="3:7">
      <c r="C51" s="93"/>
      <c r="E51" s="96"/>
      <c r="F51" s="178"/>
      <c r="G51" s="93"/>
    </row>
    <row r="52" spans="3:7">
      <c r="C52" s="93"/>
      <c r="E52" s="96"/>
      <c r="F52" s="178"/>
      <c r="G52" s="93"/>
    </row>
    <row r="53" spans="3:7">
      <c r="C53" s="93"/>
      <c r="E53" s="96"/>
      <c r="F53" s="178"/>
      <c r="G53" s="93"/>
    </row>
    <row r="54" spans="3:7">
      <c r="C54" s="93"/>
      <c r="E54" s="96"/>
      <c r="F54" s="178"/>
      <c r="G54" s="93"/>
    </row>
    <row r="55" spans="3:7">
      <c r="C55" s="93"/>
      <c r="E55" s="96"/>
      <c r="F55" s="178"/>
      <c r="G55" s="93"/>
    </row>
    <row r="56" spans="3:7">
      <c r="C56" s="93"/>
      <c r="E56" s="96"/>
      <c r="F56" s="178"/>
      <c r="G56" s="93"/>
    </row>
    <row r="57" spans="3:7">
      <c r="C57" s="93"/>
      <c r="E57" s="96"/>
      <c r="F57" s="178"/>
      <c r="G57" s="93"/>
    </row>
    <row r="58" spans="3:7">
      <c r="C58" s="93"/>
      <c r="E58" s="96"/>
      <c r="F58" s="178"/>
      <c r="G58" s="93"/>
    </row>
    <row r="59" spans="3:7">
      <c r="C59" s="93"/>
      <c r="E59" s="96"/>
      <c r="F59" s="178"/>
      <c r="G59" s="93"/>
    </row>
    <row r="60" spans="3:7">
      <c r="C60" s="93"/>
      <c r="E60" s="96"/>
      <c r="F60" s="178"/>
      <c r="G60" s="93"/>
    </row>
    <row r="61" spans="3:7">
      <c r="C61" s="93"/>
      <c r="E61" s="96"/>
      <c r="F61" s="178"/>
      <c r="G61" s="93"/>
    </row>
    <row r="62" spans="3:7">
      <c r="C62" s="93"/>
      <c r="E62" s="96"/>
      <c r="F62" s="178"/>
      <c r="G62" s="93"/>
    </row>
    <row r="63" spans="3:7">
      <c r="C63" s="93"/>
      <c r="E63" s="96"/>
      <c r="F63" s="178"/>
      <c r="G63" s="93"/>
    </row>
    <row r="64" spans="3:7">
      <c r="C64" s="93"/>
      <c r="E64" s="96"/>
      <c r="F64" s="178"/>
      <c r="G64" s="93"/>
    </row>
    <row r="65" spans="3:7">
      <c r="C65" s="93"/>
      <c r="E65" s="96"/>
      <c r="F65" s="178"/>
      <c r="G65" s="93"/>
    </row>
    <row r="66" spans="3:7">
      <c r="C66" s="93"/>
      <c r="E66" s="96"/>
      <c r="F66" s="178"/>
      <c r="G66" s="93"/>
    </row>
    <row r="67" spans="3:7">
      <c r="C67" s="93"/>
      <c r="E67" s="96"/>
      <c r="F67" s="178"/>
      <c r="G67" s="93"/>
    </row>
    <row r="68" spans="3:7">
      <c r="C68" s="93"/>
      <c r="E68" s="96"/>
      <c r="F68" s="178"/>
      <c r="G68" s="93"/>
    </row>
    <row r="69" spans="3:7">
      <c r="C69" s="93"/>
      <c r="E69" s="96"/>
      <c r="F69" s="178"/>
      <c r="G69" s="93"/>
    </row>
    <row r="70" spans="3:7">
      <c r="C70" s="93"/>
      <c r="E70" s="96"/>
      <c r="F70" s="178"/>
      <c r="G70" s="93"/>
    </row>
    <row r="71" spans="3:7">
      <c r="C71" s="93"/>
      <c r="E71" s="96"/>
      <c r="F71" s="178"/>
      <c r="G71" s="93"/>
    </row>
    <row r="72" spans="3:7">
      <c r="C72" s="93"/>
      <c r="E72" s="96"/>
      <c r="F72" s="178"/>
      <c r="G72" s="93"/>
    </row>
    <row r="73" spans="3:7">
      <c r="C73" s="93"/>
      <c r="E73" s="96"/>
      <c r="F73" s="178"/>
      <c r="G73" s="93"/>
    </row>
    <row r="74" spans="3:7">
      <c r="C74" s="93"/>
      <c r="E74" s="96"/>
      <c r="F74" s="178"/>
      <c r="G74" s="93"/>
    </row>
    <row r="75" spans="3:7">
      <c r="C75" s="93"/>
      <c r="E75" s="96"/>
      <c r="F75" s="178"/>
      <c r="G75" s="93"/>
    </row>
    <row r="76" spans="3:7">
      <c r="C76" s="93"/>
      <c r="E76" s="96"/>
      <c r="F76" s="178"/>
      <c r="G76" s="93"/>
    </row>
    <row r="77" spans="3:7">
      <c r="C77" s="93"/>
      <c r="E77" s="96"/>
      <c r="F77" s="178"/>
      <c r="G77" s="93"/>
    </row>
    <row r="78" spans="3:7">
      <c r="C78" s="93"/>
      <c r="E78" s="96"/>
      <c r="F78" s="178"/>
      <c r="G78" s="93"/>
    </row>
    <row r="79" spans="3:7">
      <c r="C79" s="93"/>
      <c r="E79" s="96"/>
      <c r="F79" s="178"/>
      <c r="G79" s="93"/>
    </row>
    <row r="80" spans="3:7">
      <c r="C80" s="93"/>
      <c r="E80" s="96"/>
      <c r="F80" s="178"/>
      <c r="G80" s="93"/>
    </row>
    <row r="81" spans="3:7">
      <c r="C81" s="93"/>
      <c r="E81" s="96"/>
      <c r="F81" s="178"/>
      <c r="G81" s="93"/>
    </row>
    <row r="82" spans="3:7">
      <c r="C82" s="93"/>
      <c r="E82" s="96"/>
      <c r="F82" s="178"/>
      <c r="G82" s="93"/>
    </row>
    <row r="83" spans="3:7">
      <c r="C83" s="93"/>
      <c r="E83" s="96"/>
      <c r="F83" s="178"/>
      <c r="G83" s="93"/>
    </row>
    <row r="84" spans="3:7">
      <c r="C84" s="93"/>
      <c r="E84" s="96"/>
      <c r="F84" s="178"/>
      <c r="G84" s="93"/>
    </row>
    <row r="85" spans="3:7">
      <c r="C85" s="93"/>
      <c r="E85" s="96"/>
      <c r="F85" s="178"/>
      <c r="G85" s="93"/>
    </row>
    <row r="86" spans="3:7">
      <c r="C86" s="93"/>
      <c r="E86" s="96"/>
      <c r="F86" s="178"/>
      <c r="G86" s="93"/>
    </row>
    <row r="87" spans="3:7">
      <c r="C87" s="93"/>
      <c r="E87" s="96"/>
      <c r="F87" s="178"/>
      <c r="G87" s="93"/>
    </row>
    <row r="88" spans="3:7">
      <c r="C88" s="93"/>
      <c r="E88" s="96"/>
      <c r="F88" s="178"/>
      <c r="G88" s="93"/>
    </row>
    <row r="89" spans="3:7">
      <c r="C89" s="93"/>
      <c r="E89" s="96"/>
      <c r="F89" s="178"/>
      <c r="G89" s="93"/>
    </row>
    <row r="90" spans="3:7">
      <c r="C90" s="93"/>
      <c r="E90" s="96"/>
      <c r="F90" s="178"/>
      <c r="G90" s="93"/>
    </row>
    <row r="91" spans="3:7">
      <c r="C91" s="93"/>
      <c r="E91" s="96"/>
      <c r="F91" s="178"/>
      <c r="G91" s="93"/>
    </row>
    <row r="92" spans="3:7">
      <c r="C92" s="93"/>
      <c r="E92" s="96"/>
      <c r="F92" s="178"/>
      <c r="G92" s="93"/>
    </row>
    <row r="93" spans="3:7">
      <c r="C93" s="93"/>
      <c r="E93" s="96"/>
      <c r="F93" s="178"/>
      <c r="G93" s="93"/>
    </row>
    <row r="94" spans="3:7">
      <c r="C94" s="93"/>
      <c r="E94" s="96"/>
      <c r="F94" s="178"/>
      <c r="G94" s="93"/>
    </row>
    <row r="95" spans="3:7">
      <c r="C95" s="93"/>
      <c r="E95" s="96"/>
      <c r="F95" s="178"/>
      <c r="G95" s="93"/>
    </row>
    <row r="96" spans="3:7">
      <c r="C96" s="93"/>
      <c r="E96" s="96"/>
      <c r="F96" s="178"/>
      <c r="G96" s="93"/>
    </row>
    <row r="97" spans="3:7">
      <c r="C97" s="93"/>
      <c r="E97" s="96"/>
      <c r="F97" s="178"/>
      <c r="G97" s="93"/>
    </row>
    <row r="98" spans="3:7">
      <c r="C98" s="93"/>
      <c r="E98" s="96"/>
      <c r="F98" s="178"/>
      <c r="G98" s="93"/>
    </row>
    <row r="99" spans="3:7">
      <c r="C99" s="93"/>
      <c r="E99" s="96"/>
      <c r="F99" s="178"/>
      <c r="G99" s="93"/>
    </row>
    <row r="100" spans="3:7">
      <c r="C100" s="93"/>
      <c r="E100" s="96"/>
      <c r="F100" s="178"/>
      <c r="G100" s="93"/>
    </row>
    <row r="101" spans="3:7">
      <c r="C101" s="93"/>
      <c r="E101" s="96"/>
      <c r="F101" s="178"/>
      <c r="G101" s="93"/>
    </row>
    <row r="102" spans="3:7">
      <c r="C102" s="93"/>
      <c r="E102" s="96"/>
      <c r="F102" s="178"/>
      <c r="G102" s="93"/>
    </row>
    <row r="103" spans="3:7">
      <c r="C103" s="93"/>
      <c r="E103" s="96"/>
      <c r="F103" s="178"/>
      <c r="G103" s="93"/>
    </row>
    <row r="104" spans="3:7">
      <c r="C104" s="93"/>
      <c r="E104" s="96"/>
      <c r="F104" s="178"/>
      <c r="G104" s="93"/>
    </row>
    <row r="105" spans="3:7">
      <c r="C105" s="93"/>
      <c r="E105" s="96"/>
      <c r="F105" s="178"/>
      <c r="G105" s="93"/>
    </row>
    <row r="106" spans="3:7">
      <c r="C106" s="93"/>
      <c r="E106" s="96"/>
      <c r="F106" s="178"/>
      <c r="G106" s="93"/>
    </row>
    <row r="107" spans="3:7">
      <c r="C107" s="93"/>
      <c r="E107" s="96"/>
      <c r="F107" s="178"/>
      <c r="G107" s="93"/>
    </row>
    <row r="108" spans="3:7">
      <c r="C108" s="93"/>
      <c r="E108" s="96"/>
      <c r="F108" s="178"/>
      <c r="G108" s="93"/>
    </row>
    <row r="109" spans="3:7">
      <c r="C109" s="93"/>
      <c r="E109" s="96"/>
      <c r="F109" s="178"/>
      <c r="G109" s="93"/>
    </row>
    <row r="110" spans="3:7">
      <c r="C110" s="93"/>
      <c r="E110" s="96"/>
      <c r="F110" s="178"/>
      <c r="G110" s="93"/>
    </row>
    <row r="111" spans="3:7">
      <c r="C111" s="93"/>
      <c r="E111" s="96"/>
      <c r="F111" s="178"/>
      <c r="G111" s="93"/>
    </row>
    <row r="112" spans="3:7">
      <c r="C112" s="93"/>
      <c r="E112" s="96"/>
      <c r="F112" s="178"/>
      <c r="G112" s="93"/>
    </row>
    <row r="113" spans="3:7">
      <c r="C113" s="93"/>
      <c r="E113" s="96"/>
      <c r="F113" s="178"/>
      <c r="G113" s="93"/>
    </row>
    <row r="114" spans="3:7">
      <c r="C114" s="93"/>
      <c r="E114" s="96"/>
      <c r="F114" s="178"/>
      <c r="G114" s="93"/>
    </row>
    <row r="115" spans="3:7">
      <c r="C115" s="93"/>
      <c r="E115" s="96"/>
      <c r="F115" s="178"/>
      <c r="G115" s="93"/>
    </row>
    <row r="116" spans="3:7">
      <c r="C116" s="93"/>
      <c r="E116" s="96"/>
      <c r="F116" s="178"/>
      <c r="G116" s="93"/>
    </row>
    <row r="117" spans="3:7">
      <c r="C117" s="93"/>
      <c r="E117" s="96"/>
      <c r="F117" s="178"/>
      <c r="G117" s="93"/>
    </row>
    <row r="118" spans="3:7">
      <c r="C118" s="93"/>
      <c r="E118" s="96"/>
      <c r="F118" s="178"/>
      <c r="G118" s="93"/>
    </row>
    <row r="119" spans="3:7">
      <c r="C119" s="93"/>
      <c r="E119" s="96"/>
      <c r="F119" s="178"/>
      <c r="G119" s="93"/>
    </row>
    <row r="120" spans="3:7">
      <c r="C120" s="93"/>
      <c r="E120" s="96"/>
      <c r="F120" s="178"/>
      <c r="G120" s="93"/>
    </row>
    <row r="121" spans="3:7">
      <c r="C121" s="93"/>
      <c r="E121" s="96"/>
      <c r="F121" s="178"/>
      <c r="G121" s="93"/>
    </row>
    <row r="122" spans="3:7">
      <c r="C122" s="93"/>
      <c r="E122" s="96"/>
      <c r="F122" s="178"/>
      <c r="G122" s="93"/>
    </row>
    <row r="123" spans="3:7">
      <c r="C123" s="93"/>
      <c r="E123" s="96"/>
      <c r="F123" s="178"/>
      <c r="G123" s="93"/>
    </row>
    <row r="124" spans="3:7">
      <c r="C124" s="93"/>
      <c r="E124" s="96"/>
      <c r="F124" s="178"/>
      <c r="G124" s="93"/>
    </row>
    <row r="125" spans="3:7">
      <c r="C125" s="93"/>
      <c r="E125" s="96"/>
      <c r="F125" s="178"/>
      <c r="G125" s="93"/>
    </row>
    <row r="126" spans="3:7">
      <c r="C126" s="93"/>
      <c r="E126" s="96"/>
      <c r="F126" s="178"/>
      <c r="G126" s="93"/>
    </row>
    <row r="127" spans="3:7">
      <c r="C127" s="93"/>
      <c r="E127" s="96"/>
      <c r="F127" s="178"/>
      <c r="G127" s="93"/>
    </row>
    <row r="128" spans="3:7">
      <c r="C128" s="93"/>
      <c r="E128" s="96"/>
      <c r="F128" s="178"/>
      <c r="G128" s="93"/>
    </row>
    <row r="129" spans="3:7">
      <c r="C129" s="93"/>
      <c r="E129" s="96"/>
      <c r="F129" s="178"/>
      <c r="G129" s="93"/>
    </row>
    <row r="130" spans="3:7">
      <c r="C130" s="93"/>
      <c r="E130" s="96"/>
      <c r="F130" s="178"/>
      <c r="G130" s="93"/>
    </row>
    <row r="131" spans="3:7">
      <c r="C131" s="93"/>
      <c r="E131" s="96"/>
      <c r="F131" s="178"/>
      <c r="G131" s="93"/>
    </row>
    <row r="132" spans="3:7">
      <c r="C132" s="93"/>
      <c r="E132" s="96"/>
      <c r="F132" s="178"/>
      <c r="G132" s="93"/>
    </row>
    <row r="133" spans="3:7">
      <c r="C133" s="93"/>
      <c r="E133" s="96"/>
      <c r="F133" s="178"/>
      <c r="G133" s="93"/>
    </row>
    <row r="134" spans="3:7">
      <c r="C134" s="93"/>
      <c r="E134" s="96"/>
      <c r="F134" s="178"/>
      <c r="G134" s="93"/>
    </row>
    <row r="135" spans="3:7">
      <c r="C135" s="93"/>
      <c r="E135" s="96"/>
      <c r="F135" s="178"/>
      <c r="G135" s="93"/>
    </row>
    <row r="136" spans="3:7">
      <c r="C136" s="93"/>
      <c r="E136" s="96"/>
      <c r="F136" s="178"/>
      <c r="G136" s="93"/>
    </row>
    <row r="137" spans="3:7">
      <c r="C137" s="93"/>
      <c r="E137" s="96"/>
      <c r="F137" s="178"/>
      <c r="G137" s="93"/>
    </row>
    <row r="138" spans="3:7">
      <c r="C138" s="93"/>
      <c r="E138" s="96"/>
      <c r="F138" s="178"/>
      <c r="G138" s="93"/>
    </row>
    <row r="139" spans="3:7">
      <c r="C139" s="93"/>
      <c r="E139" s="96"/>
      <c r="F139" s="178"/>
      <c r="G139" s="93"/>
    </row>
    <row r="140" spans="3:7">
      <c r="C140" s="93"/>
      <c r="E140" s="96"/>
      <c r="F140" s="178"/>
      <c r="G140" s="93"/>
    </row>
    <row r="141" spans="3:7">
      <c r="C141" s="93"/>
      <c r="E141" s="96"/>
      <c r="F141" s="178"/>
      <c r="G141" s="93"/>
    </row>
    <row r="142" spans="3:7">
      <c r="C142" s="93"/>
      <c r="E142" s="96"/>
      <c r="F142" s="178"/>
      <c r="G142" s="93"/>
    </row>
    <row r="143" spans="3:7">
      <c r="C143" s="93"/>
      <c r="E143" s="96"/>
      <c r="F143" s="178"/>
      <c r="G143" s="93"/>
    </row>
    <row r="144" spans="3:7">
      <c r="C144" s="93"/>
      <c r="E144" s="96"/>
      <c r="F144" s="178"/>
      <c r="G144" s="93"/>
    </row>
    <row r="145" spans="3:7">
      <c r="C145" s="93"/>
      <c r="E145" s="96"/>
      <c r="F145" s="178"/>
      <c r="G145" s="93"/>
    </row>
    <row r="146" spans="3:7">
      <c r="C146" s="93"/>
      <c r="E146" s="96"/>
      <c r="F146" s="178"/>
      <c r="G146" s="93"/>
    </row>
    <row r="147" spans="3:7">
      <c r="C147" s="93"/>
      <c r="E147" s="96"/>
      <c r="F147" s="178"/>
      <c r="G147" s="93"/>
    </row>
    <row r="148" spans="3:7">
      <c r="C148" s="93"/>
      <c r="E148" s="96"/>
      <c r="F148" s="178"/>
      <c r="G148" s="93"/>
    </row>
    <row r="149" spans="3:7">
      <c r="C149" s="93"/>
      <c r="E149" s="96"/>
      <c r="F149" s="178"/>
      <c r="G149" s="93"/>
    </row>
    <row r="150" spans="3:7">
      <c r="C150" s="93"/>
      <c r="E150" s="96"/>
      <c r="F150" s="178"/>
      <c r="G150" s="93"/>
    </row>
    <row r="151" spans="3:7">
      <c r="C151" s="93"/>
      <c r="E151" s="96"/>
      <c r="F151" s="178"/>
      <c r="G151" s="93"/>
    </row>
    <row r="152" spans="3:7">
      <c r="C152" s="93"/>
      <c r="E152" s="96"/>
      <c r="F152" s="178"/>
      <c r="G152" s="93"/>
    </row>
    <row r="153" spans="3:7">
      <c r="C153" s="93"/>
      <c r="E153" s="96"/>
      <c r="F153" s="178"/>
      <c r="G153" s="93"/>
    </row>
    <row r="154" spans="3:7">
      <c r="C154" s="93"/>
      <c r="E154" s="96"/>
      <c r="F154" s="178"/>
      <c r="G154" s="93"/>
    </row>
    <row r="155" spans="3:7">
      <c r="C155" s="93"/>
      <c r="E155" s="96"/>
      <c r="F155" s="178"/>
      <c r="G155" s="93"/>
    </row>
    <row r="156" spans="3:7">
      <c r="C156" s="93"/>
      <c r="E156" s="96"/>
      <c r="F156" s="178"/>
      <c r="G156" s="93"/>
    </row>
    <row r="157" spans="3:7">
      <c r="C157" s="93"/>
      <c r="E157" s="96"/>
      <c r="F157" s="178"/>
      <c r="G157" s="93"/>
    </row>
    <row r="158" spans="3:7">
      <c r="C158" s="93"/>
      <c r="E158" s="96"/>
      <c r="F158" s="178"/>
      <c r="G158" s="93"/>
    </row>
    <row r="159" spans="3:7">
      <c r="C159" s="93"/>
      <c r="E159" s="96"/>
      <c r="F159" s="178"/>
      <c r="G159" s="93"/>
    </row>
    <row r="160" spans="3:7">
      <c r="C160" s="93"/>
      <c r="E160" s="96"/>
      <c r="F160" s="178"/>
      <c r="G160" s="93"/>
    </row>
    <row r="161" spans="3:7">
      <c r="C161" s="93"/>
      <c r="E161" s="96"/>
      <c r="F161" s="178"/>
      <c r="G161" s="93"/>
    </row>
    <row r="162" spans="3:7">
      <c r="C162" s="93"/>
      <c r="E162" s="96"/>
      <c r="F162" s="178"/>
      <c r="G162" s="93"/>
    </row>
    <row r="163" spans="3:7">
      <c r="C163" s="93"/>
      <c r="E163" s="96"/>
      <c r="F163" s="178"/>
      <c r="G163" s="93"/>
    </row>
    <row r="164" spans="3:7">
      <c r="C164" s="93"/>
      <c r="E164" s="96"/>
      <c r="F164" s="178"/>
      <c r="G164" s="93"/>
    </row>
    <row r="165" spans="3:7">
      <c r="C165" s="93"/>
      <c r="E165" s="96"/>
      <c r="F165" s="178"/>
      <c r="G165" s="93"/>
    </row>
    <row r="166" spans="3:7">
      <c r="C166" s="93"/>
      <c r="E166" s="96"/>
      <c r="F166" s="178"/>
      <c r="G166" s="93"/>
    </row>
    <row r="167" spans="3:7">
      <c r="C167" s="93"/>
      <c r="E167" s="96"/>
      <c r="F167" s="178"/>
      <c r="G167" s="93"/>
    </row>
    <row r="168" spans="3:7">
      <c r="C168" s="93"/>
      <c r="E168" s="96"/>
      <c r="F168" s="178"/>
      <c r="G168" s="93"/>
    </row>
    <row r="169" spans="3:7">
      <c r="C169" s="93"/>
      <c r="E169" s="96"/>
      <c r="F169" s="178"/>
      <c r="G169" s="93"/>
    </row>
    <row r="170" spans="3:7">
      <c r="C170" s="93"/>
      <c r="E170" s="96"/>
      <c r="F170" s="178"/>
      <c r="G170" s="93"/>
    </row>
    <row r="171" spans="3:7">
      <c r="C171" s="93"/>
      <c r="E171" s="96"/>
      <c r="F171" s="178"/>
      <c r="G171" s="93"/>
    </row>
    <row r="172" spans="3:7">
      <c r="C172" s="93"/>
      <c r="E172" s="96"/>
      <c r="F172" s="178"/>
      <c r="G172" s="93"/>
    </row>
    <row r="173" spans="3:7">
      <c r="C173" s="93"/>
      <c r="E173" s="96"/>
      <c r="F173" s="178"/>
      <c r="G173" s="93"/>
    </row>
    <row r="174" spans="3:7">
      <c r="C174" s="93"/>
      <c r="E174" s="96"/>
      <c r="F174" s="178"/>
      <c r="G174" s="93"/>
    </row>
    <row r="175" spans="3:7">
      <c r="C175" s="93"/>
      <c r="E175" s="96"/>
      <c r="F175" s="178"/>
      <c r="G175" s="93"/>
    </row>
    <row r="176" spans="3:7">
      <c r="C176" s="93"/>
      <c r="E176" s="96"/>
      <c r="F176" s="178"/>
      <c r="G176" s="93"/>
    </row>
    <row r="177" spans="3:7">
      <c r="C177" s="93"/>
      <c r="E177" s="96"/>
      <c r="F177" s="178"/>
      <c r="G177" s="93"/>
    </row>
    <row r="178" spans="3:7">
      <c r="C178" s="93"/>
      <c r="E178" s="96"/>
      <c r="F178" s="178"/>
      <c r="G178" s="93"/>
    </row>
    <row r="179" spans="3:7">
      <c r="C179" s="93"/>
      <c r="E179" s="96"/>
      <c r="F179" s="178"/>
      <c r="G179" s="93"/>
    </row>
    <row r="180" spans="3:7">
      <c r="C180" s="93"/>
      <c r="E180" s="96"/>
      <c r="F180" s="178"/>
      <c r="G180" s="93"/>
    </row>
    <row r="181" spans="3:7">
      <c r="C181" s="93"/>
      <c r="E181" s="96"/>
      <c r="F181" s="178"/>
      <c r="G181" s="93"/>
    </row>
    <row r="182" spans="3:7">
      <c r="C182" s="93"/>
      <c r="E182" s="96"/>
      <c r="F182" s="178"/>
      <c r="G182" s="93"/>
    </row>
    <row r="183" spans="3:7">
      <c r="C183" s="93"/>
      <c r="E183" s="96"/>
      <c r="F183" s="178"/>
      <c r="G183" s="93"/>
    </row>
    <row r="184" spans="3:7">
      <c r="C184" s="93"/>
      <c r="E184" s="96"/>
      <c r="F184" s="178"/>
      <c r="G184" s="93"/>
    </row>
    <row r="185" spans="3:7">
      <c r="C185" s="93"/>
      <c r="E185" s="96"/>
      <c r="F185" s="178"/>
      <c r="G185" s="93"/>
    </row>
    <row r="186" spans="3:7">
      <c r="C186" s="93"/>
      <c r="E186" s="96"/>
      <c r="F186" s="178"/>
      <c r="G186" s="93"/>
    </row>
    <row r="187" spans="3:7">
      <c r="C187" s="93"/>
      <c r="E187" s="96"/>
      <c r="F187" s="178"/>
      <c r="G187" s="93"/>
    </row>
    <row r="188" spans="3:7">
      <c r="C188" s="93"/>
      <c r="E188" s="96"/>
      <c r="F188" s="178"/>
      <c r="G188" s="93"/>
    </row>
    <row r="189" spans="3:7">
      <c r="C189" s="93"/>
      <c r="E189" s="96"/>
      <c r="F189" s="178"/>
      <c r="G189" s="93"/>
    </row>
    <row r="190" spans="3:7">
      <c r="C190" s="93"/>
      <c r="E190" s="96"/>
      <c r="F190" s="178"/>
      <c r="G190" s="93"/>
    </row>
    <row r="191" spans="3:7">
      <c r="C191" s="93"/>
      <c r="E191" s="96"/>
      <c r="F191" s="178"/>
      <c r="G191" s="93"/>
    </row>
    <row r="192" spans="3:7">
      <c r="C192" s="93"/>
      <c r="E192" s="96"/>
      <c r="F192" s="178"/>
      <c r="G192" s="93"/>
    </row>
    <row r="193" spans="3:7">
      <c r="C193" s="93"/>
      <c r="E193" s="96"/>
      <c r="F193" s="178"/>
      <c r="G193" s="93"/>
    </row>
    <row r="194" spans="3:7">
      <c r="C194" s="93"/>
      <c r="E194" s="96"/>
      <c r="F194" s="178"/>
      <c r="G194" s="93"/>
    </row>
    <row r="195" spans="3:7">
      <c r="C195" s="93"/>
      <c r="E195" s="96"/>
      <c r="F195" s="178"/>
      <c r="G195" s="93"/>
    </row>
    <row r="196" spans="3:7">
      <c r="C196" s="93"/>
      <c r="E196" s="96"/>
      <c r="F196" s="178"/>
      <c r="G196" s="93"/>
    </row>
    <row r="197" spans="3:7">
      <c r="C197" s="93"/>
      <c r="E197" s="96"/>
      <c r="F197" s="178"/>
      <c r="G197" s="93"/>
    </row>
    <row r="198" spans="3:7">
      <c r="C198" s="93"/>
      <c r="E198" s="96"/>
      <c r="F198" s="178"/>
      <c r="G198" s="93"/>
    </row>
    <row r="199" spans="3:7">
      <c r="C199" s="93"/>
      <c r="E199" s="96"/>
      <c r="F199" s="178"/>
      <c r="G199" s="93"/>
    </row>
    <row r="200" spans="3:7">
      <c r="C200" s="93"/>
      <c r="E200" s="96"/>
      <c r="F200" s="178"/>
      <c r="G200" s="93"/>
    </row>
    <row r="201" spans="3:7">
      <c r="C201" s="93"/>
      <c r="E201" s="96"/>
      <c r="F201" s="178"/>
      <c r="G201" s="93"/>
    </row>
    <row r="202" spans="3:7">
      <c r="C202" s="93"/>
      <c r="E202" s="96"/>
      <c r="F202" s="178"/>
      <c r="G202" s="93"/>
    </row>
    <row r="203" spans="3:7">
      <c r="C203" s="93"/>
      <c r="E203" s="96"/>
      <c r="F203" s="178"/>
      <c r="G203" s="93"/>
    </row>
    <row r="204" spans="3:7">
      <c r="C204" s="93"/>
      <c r="E204" s="96"/>
      <c r="F204" s="178"/>
      <c r="G204" s="93"/>
    </row>
    <row r="205" spans="3:7">
      <c r="C205" s="93"/>
      <c r="E205" s="96"/>
      <c r="F205" s="178"/>
      <c r="G205" s="93"/>
    </row>
    <row r="206" spans="3:7">
      <c r="C206" s="93"/>
      <c r="E206" s="96"/>
      <c r="F206" s="178"/>
      <c r="G206" s="93"/>
    </row>
    <row r="207" spans="3:7">
      <c r="C207" s="93"/>
      <c r="E207" s="96"/>
      <c r="F207" s="178"/>
      <c r="G207" s="93"/>
    </row>
    <row r="208" spans="3:7">
      <c r="C208" s="93"/>
      <c r="E208" s="96"/>
      <c r="F208" s="178"/>
      <c r="G208" s="93"/>
    </row>
    <row r="209" spans="3:7">
      <c r="C209" s="93"/>
      <c r="E209" s="96"/>
      <c r="F209" s="178"/>
      <c r="G209" s="93"/>
    </row>
    <row r="210" spans="3:7">
      <c r="C210" s="93"/>
      <c r="E210" s="96"/>
      <c r="F210" s="178"/>
      <c r="G210" s="93"/>
    </row>
    <row r="211" spans="3:7">
      <c r="C211" s="93"/>
      <c r="E211" s="96"/>
      <c r="F211" s="178"/>
      <c r="G211" s="93"/>
    </row>
    <row r="212" spans="3:7">
      <c r="C212" s="93"/>
      <c r="E212" s="96"/>
      <c r="F212" s="178"/>
      <c r="G212" s="93"/>
    </row>
    <row r="213" spans="3:7">
      <c r="C213" s="93"/>
      <c r="E213" s="96"/>
      <c r="F213" s="178"/>
      <c r="G213" s="93"/>
    </row>
    <row r="214" spans="3:7">
      <c r="C214" s="93"/>
      <c r="E214" s="96"/>
      <c r="F214" s="178"/>
      <c r="G214" s="93"/>
    </row>
    <row r="215" spans="3:7">
      <c r="C215" s="93"/>
      <c r="E215" s="96"/>
      <c r="F215" s="178"/>
      <c r="G215" s="93"/>
    </row>
    <row r="216" spans="3:7">
      <c r="C216" s="93"/>
      <c r="E216" s="96"/>
      <c r="F216" s="178"/>
      <c r="G216" s="93"/>
    </row>
    <row r="217" spans="3:7">
      <c r="C217" s="93"/>
      <c r="E217" s="96"/>
      <c r="F217" s="178"/>
      <c r="G217" s="93"/>
    </row>
    <row r="218" spans="3:7">
      <c r="C218" s="93"/>
      <c r="E218" s="96"/>
      <c r="F218" s="178"/>
      <c r="G218" s="93"/>
    </row>
    <row r="219" spans="3:7">
      <c r="C219" s="93"/>
      <c r="E219" s="96"/>
      <c r="F219" s="178"/>
      <c r="G219" s="93"/>
    </row>
    <row r="220" spans="3:7">
      <c r="C220" s="93"/>
      <c r="E220" s="96"/>
      <c r="F220" s="178"/>
      <c r="G220" s="93"/>
    </row>
    <row r="221" spans="3:7">
      <c r="C221" s="93"/>
      <c r="E221" s="96"/>
      <c r="F221" s="178"/>
      <c r="G221" s="93"/>
    </row>
    <row r="222" spans="3:7">
      <c r="C222" s="93"/>
      <c r="E222" s="96"/>
      <c r="F222" s="178"/>
      <c r="G222" s="93"/>
    </row>
    <row r="223" spans="3:7">
      <c r="C223" s="93"/>
      <c r="E223" s="96"/>
      <c r="F223" s="178"/>
      <c r="G223" s="93"/>
    </row>
    <row r="224" spans="3:7">
      <c r="C224" s="93"/>
      <c r="E224" s="96"/>
      <c r="F224" s="178"/>
      <c r="G224" s="93"/>
    </row>
    <row r="225" spans="3:7">
      <c r="C225" s="93"/>
      <c r="E225" s="96"/>
      <c r="F225" s="178"/>
      <c r="G225" s="93"/>
    </row>
    <row r="226" spans="3:7">
      <c r="C226" s="93"/>
      <c r="E226" s="96"/>
      <c r="F226" s="178"/>
      <c r="G226" s="93"/>
    </row>
    <row r="227" spans="3:7">
      <c r="C227" s="93"/>
      <c r="E227" s="96"/>
      <c r="F227" s="178"/>
      <c r="G227" s="93"/>
    </row>
    <row r="228" spans="3:7">
      <c r="C228" s="93"/>
      <c r="E228" s="96"/>
      <c r="F228" s="178"/>
      <c r="G228" s="93"/>
    </row>
    <row r="229" spans="3:7">
      <c r="C229" s="93"/>
      <c r="E229" s="96"/>
      <c r="F229" s="178"/>
      <c r="G229" s="93"/>
    </row>
    <row r="230" spans="3:7">
      <c r="C230" s="93"/>
      <c r="E230" s="96"/>
      <c r="F230" s="178"/>
      <c r="G230" s="93"/>
    </row>
    <row r="231" spans="3:7">
      <c r="C231" s="93"/>
      <c r="E231" s="96"/>
      <c r="F231" s="178"/>
      <c r="G231" s="93"/>
    </row>
    <row r="232" spans="3:7">
      <c r="C232" s="93"/>
      <c r="E232" s="96"/>
      <c r="F232" s="178"/>
      <c r="G232" s="93"/>
    </row>
    <row r="233" spans="3:7">
      <c r="C233" s="93"/>
      <c r="E233" s="96"/>
      <c r="F233" s="178"/>
      <c r="G233" s="93"/>
    </row>
    <row r="234" spans="3:7">
      <c r="C234" s="93"/>
      <c r="E234" s="96"/>
      <c r="F234" s="178"/>
      <c r="G234" s="93"/>
    </row>
    <row r="235" spans="3:7">
      <c r="C235" s="93"/>
      <c r="E235" s="96"/>
      <c r="F235" s="178"/>
      <c r="G235" s="93"/>
    </row>
    <row r="236" spans="3:7">
      <c r="C236" s="93"/>
      <c r="E236" s="96"/>
      <c r="F236" s="178"/>
      <c r="G236" s="93"/>
    </row>
    <row r="237" spans="3:7">
      <c r="C237" s="93"/>
      <c r="E237" s="96"/>
      <c r="F237" s="178"/>
      <c r="G237" s="93"/>
    </row>
    <row r="238" spans="3:7">
      <c r="C238" s="93"/>
      <c r="E238" s="96"/>
      <c r="F238" s="178"/>
      <c r="G238" s="93"/>
    </row>
    <row r="239" spans="3:7">
      <c r="C239" s="93"/>
      <c r="E239" s="96"/>
      <c r="F239" s="178"/>
      <c r="G239" s="93"/>
    </row>
    <row r="240" spans="3:7">
      <c r="C240" s="93"/>
      <c r="E240" s="96"/>
      <c r="F240" s="178"/>
      <c r="G240" s="93"/>
    </row>
    <row r="241" spans="3:7">
      <c r="C241" s="93"/>
      <c r="E241" s="96"/>
      <c r="F241" s="178"/>
      <c r="G241" s="93"/>
    </row>
    <row r="242" spans="3:7">
      <c r="C242" s="93"/>
      <c r="E242" s="96"/>
      <c r="F242" s="178"/>
      <c r="G242" s="93"/>
    </row>
    <row r="243" spans="3:7">
      <c r="C243" s="93"/>
      <c r="E243" s="96"/>
      <c r="F243" s="178"/>
      <c r="G243" s="93"/>
    </row>
    <row r="244" spans="3:7">
      <c r="C244" s="93"/>
      <c r="E244" s="96"/>
      <c r="F244" s="178"/>
      <c r="G244" s="93"/>
    </row>
    <row r="245" spans="3:7">
      <c r="C245" s="93"/>
      <c r="E245" s="96"/>
      <c r="F245" s="178"/>
      <c r="G245" s="93"/>
    </row>
    <row r="246" spans="3:7">
      <c r="C246" s="93"/>
      <c r="E246" s="96"/>
      <c r="F246" s="178"/>
      <c r="G246" s="93"/>
    </row>
    <row r="247" spans="3:7">
      <c r="C247" s="93"/>
      <c r="E247" s="96"/>
      <c r="F247" s="178"/>
      <c r="G247" s="93"/>
    </row>
    <row r="248" spans="3:7">
      <c r="C248" s="93"/>
      <c r="E248" s="96"/>
      <c r="F248" s="178"/>
      <c r="G248" s="93"/>
    </row>
    <row r="249" spans="3:7">
      <c r="C249" s="93"/>
      <c r="E249" s="96"/>
      <c r="F249" s="178"/>
      <c r="G249" s="93"/>
    </row>
    <row r="250" spans="3:7">
      <c r="C250" s="93"/>
      <c r="E250" s="96"/>
      <c r="F250" s="178"/>
      <c r="G250" s="93"/>
    </row>
    <row r="251" spans="3:7">
      <c r="C251" s="93"/>
      <c r="E251" s="96"/>
      <c r="F251" s="178"/>
      <c r="G251" s="93"/>
    </row>
    <row r="252" spans="3:7">
      <c r="C252" s="93"/>
      <c r="E252" s="96"/>
      <c r="F252" s="178"/>
      <c r="G252" s="93"/>
    </row>
    <row r="253" spans="3:7">
      <c r="C253" s="93"/>
      <c r="E253" s="96"/>
      <c r="F253" s="178"/>
      <c r="G253" s="93"/>
    </row>
    <row r="254" spans="3:7">
      <c r="C254" s="93"/>
      <c r="E254" s="96"/>
      <c r="F254" s="178"/>
      <c r="G254" s="93"/>
    </row>
    <row r="255" spans="3:7">
      <c r="C255" s="93"/>
      <c r="E255" s="96"/>
      <c r="F255" s="178"/>
      <c r="G255" s="93"/>
    </row>
    <row r="256" spans="3:7">
      <c r="C256" s="93"/>
      <c r="E256" s="96"/>
      <c r="F256" s="178"/>
      <c r="G256" s="93"/>
    </row>
    <row r="257" spans="3:7">
      <c r="C257" s="93"/>
      <c r="E257" s="96"/>
      <c r="F257" s="178"/>
      <c r="G257" s="93"/>
    </row>
    <row r="258" spans="3:7">
      <c r="C258" s="93"/>
      <c r="E258" s="96"/>
      <c r="F258" s="178"/>
      <c r="G258" s="93"/>
    </row>
    <row r="259" spans="3:7">
      <c r="C259" s="93"/>
      <c r="E259" s="96"/>
      <c r="F259" s="178"/>
      <c r="G259" s="93"/>
    </row>
    <row r="260" spans="3:7">
      <c r="C260" s="93"/>
      <c r="E260" s="96"/>
      <c r="F260" s="178"/>
      <c r="G260" s="93"/>
    </row>
    <row r="261" spans="3:7">
      <c r="C261" s="93"/>
      <c r="E261" s="96"/>
      <c r="F261" s="178"/>
      <c r="G261" s="93"/>
    </row>
    <row r="262" spans="3:7">
      <c r="C262" s="93"/>
      <c r="E262" s="96"/>
      <c r="F262" s="178"/>
      <c r="G262" s="93"/>
    </row>
    <row r="263" spans="3:7">
      <c r="C263" s="93"/>
      <c r="E263" s="96"/>
      <c r="F263" s="178"/>
      <c r="G263" s="93"/>
    </row>
    <row r="264" spans="3:7">
      <c r="C264" s="93"/>
      <c r="E264" s="96"/>
      <c r="F264" s="178"/>
      <c r="G264" s="93"/>
    </row>
    <row r="265" spans="3:7">
      <c r="C265" s="93"/>
      <c r="E265" s="96"/>
      <c r="F265" s="178"/>
      <c r="G265" s="93"/>
    </row>
    <row r="266" spans="3:7">
      <c r="C266" s="93"/>
      <c r="E266" s="96"/>
      <c r="F266" s="178"/>
      <c r="G266" s="93"/>
    </row>
    <row r="267" spans="3:7">
      <c r="C267" s="93"/>
      <c r="E267" s="96"/>
      <c r="F267" s="178"/>
      <c r="G267" s="93"/>
    </row>
    <row r="268" spans="3:7">
      <c r="C268" s="93"/>
      <c r="E268" s="96"/>
      <c r="F268" s="178"/>
      <c r="G268" s="93"/>
    </row>
    <row r="269" spans="3:7">
      <c r="C269" s="93"/>
      <c r="E269" s="96"/>
      <c r="F269" s="178"/>
      <c r="G269" s="93"/>
    </row>
    <row r="270" spans="3:7">
      <c r="C270" s="93"/>
      <c r="E270" s="96"/>
      <c r="F270" s="178"/>
      <c r="G270" s="93"/>
    </row>
    <row r="271" spans="3:7">
      <c r="C271" s="93"/>
      <c r="E271" s="96"/>
      <c r="F271" s="178"/>
      <c r="G271" s="93"/>
    </row>
    <row r="272" spans="3:7">
      <c r="C272" s="93"/>
      <c r="E272" s="96"/>
      <c r="F272" s="178"/>
      <c r="G272" s="93"/>
    </row>
    <row r="273" spans="3:7">
      <c r="C273" s="93"/>
      <c r="E273" s="96"/>
      <c r="F273" s="178"/>
      <c r="G273" s="93"/>
    </row>
    <row r="274" spans="3:7">
      <c r="C274" s="93"/>
      <c r="E274" s="96"/>
      <c r="F274" s="178"/>
      <c r="G274" s="93"/>
    </row>
    <row r="275" spans="3:7">
      <c r="C275" s="93"/>
      <c r="E275" s="96"/>
      <c r="F275" s="178"/>
      <c r="G275" s="93"/>
    </row>
    <row r="276" spans="3:7">
      <c r="C276" s="93"/>
      <c r="E276" s="96"/>
      <c r="F276" s="178"/>
      <c r="G276" s="93"/>
    </row>
    <row r="277" spans="3:7">
      <c r="C277" s="93"/>
      <c r="E277" s="96"/>
      <c r="F277" s="178"/>
      <c r="G277" s="93"/>
    </row>
    <row r="278" spans="3:7">
      <c r="C278" s="93"/>
      <c r="E278" s="96"/>
      <c r="F278" s="178"/>
      <c r="G278" s="93"/>
    </row>
    <row r="279" spans="3:7">
      <c r="C279" s="93"/>
      <c r="E279" s="96"/>
      <c r="F279" s="178"/>
      <c r="G279" s="93"/>
    </row>
    <row r="280" spans="3:7">
      <c r="C280" s="93"/>
      <c r="E280" s="96"/>
      <c r="F280" s="178"/>
      <c r="G280" s="93"/>
    </row>
    <row r="281" spans="3:7">
      <c r="C281" s="93"/>
      <c r="E281" s="96"/>
      <c r="F281" s="178"/>
      <c r="G281" s="93"/>
    </row>
    <row r="282" spans="3:7">
      <c r="C282" s="93"/>
      <c r="E282" s="96"/>
      <c r="F282" s="178"/>
      <c r="G282" s="93"/>
    </row>
    <row r="283" spans="3:7">
      <c r="C283" s="93"/>
      <c r="E283" s="96"/>
      <c r="F283" s="178"/>
      <c r="G283" s="93"/>
    </row>
    <row r="284" spans="3:7">
      <c r="C284" s="93"/>
      <c r="E284" s="96"/>
      <c r="F284" s="178"/>
      <c r="G284" s="93"/>
    </row>
    <row r="285" spans="3:7">
      <c r="C285" s="93"/>
      <c r="E285" s="96"/>
      <c r="F285" s="178"/>
      <c r="G285" s="93"/>
    </row>
    <row r="286" spans="3:7">
      <c r="C286" s="93"/>
      <c r="E286" s="96"/>
      <c r="F286" s="178"/>
      <c r="G286" s="93"/>
    </row>
    <row r="287" spans="3:7">
      <c r="C287" s="93"/>
      <c r="E287" s="96"/>
      <c r="F287" s="178"/>
      <c r="G287" s="93"/>
    </row>
    <row r="288" spans="3:7">
      <c r="C288" s="93"/>
      <c r="E288" s="96"/>
      <c r="F288" s="178"/>
      <c r="G288" s="93"/>
    </row>
    <row r="289" spans="3:7">
      <c r="C289" s="93"/>
      <c r="E289" s="96"/>
      <c r="F289" s="178"/>
      <c r="G289" s="93"/>
    </row>
    <row r="290" spans="3:7">
      <c r="C290" s="93"/>
      <c r="E290" s="96"/>
      <c r="F290" s="178"/>
      <c r="G290" s="93"/>
    </row>
    <row r="291" spans="3:7">
      <c r="C291" s="93"/>
      <c r="E291" s="96"/>
      <c r="F291" s="178"/>
      <c r="G291" s="93"/>
    </row>
    <row r="292" spans="3:7">
      <c r="C292" s="93"/>
      <c r="E292" s="96"/>
      <c r="F292" s="178"/>
      <c r="G292" s="93"/>
    </row>
    <row r="293" spans="3:7">
      <c r="C293" s="93"/>
      <c r="E293" s="96"/>
      <c r="F293" s="178"/>
      <c r="G293" s="93"/>
    </row>
    <row r="294" spans="3:7">
      <c r="C294" s="93"/>
      <c r="E294" s="96"/>
      <c r="F294" s="178"/>
      <c r="G294" s="93"/>
    </row>
    <row r="295" spans="3:7">
      <c r="C295" s="93"/>
      <c r="E295" s="96"/>
      <c r="F295" s="178"/>
      <c r="G295" s="93"/>
    </row>
    <row r="296" spans="3:7">
      <c r="C296" s="93"/>
      <c r="E296" s="96"/>
      <c r="F296" s="178"/>
      <c r="G296" s="93"/>
    </row>
    <row r="297" spans="3:7">
      <c r="C297" s="93"/>
      <c r="E297" s="96"/>
      <c r="F297" s="178"/>
      <c r="G297" s="93"/>
    </row>
    <row r="298" spans="3:7">
      <c r="C298" s="93"/>
      <c r="E298" s="96"/>
      <c r="F298" s="178"/>
      <c r="G298" s="93"/>
    </row>
    <row r="299" spans="3:7">
      <c r="C299" s="93"/>
      <c r="E299" s="96"/>
      <c r="F299" s="178"/>
      <c r="G299" s="93"/>
    </row>
    <row r="300" spans="3:7">
      <c r="C300" s="93"/>
      <c r="E300" s="96"/>
      <c r="F300" s="178"/>
      <c r="G300" s="93"/>
    </row>
    <row r="301" spans="3:7">
      <c r="C301" s="93"/>
      <c r="E301" s="96"/>
      <c r="F301" s="178"/>
      <c r="G301" s="93"/>
    </row>
    <row r="302" spans="3:7">
      <c r="C302" s="93"/>
      <c r="E302" s="96"/>
      <c r="F302" s="178"/>
      <c r="G302" s="93"/>
    </row>
    <row r="303" spans="3:7">
      <c r="C303" s="93"/>
      <c r="E303" s="96"/>
      <c r="F303" s="178"/>
      <c r="G303" s="93"/>
    </row>
    <row r="304" spans="3:7">
      <c r="C304" s="93"/>
      <c r="E304" s="96"/>
      <c r="F304" s="178"/>
      <c r="G304" s="93"/>
    </row>
    <row r="305" spans="3:7">
      <c r="C305" s="93"/>
      <c r="E305" s="96"/>
      <c r="F305" s="178"/>
      <c r="G305" s="93"/>
    </row>
    <row r="306" spans="3:7">
      <c r="C306" s="93"/>
      <c r="E306" s="96"/>
      <c r="F306" s="178"/>
      <c r="G306" s="93"/>
    </row>
    <row r="307" spans="3:7">
      <c r="C307" s="93"/>
      <c r="E307" s="96"/>
      <c r="F307" s="178"/>
      <c r="G307" s="93"/>
    </row>
    <row r="308" spans="3:7">
      <c r="C308" s="93"/>
      <c r="E308" s="96"/>
      <c r="F308" s="178"/>
      <c r="G308" s="93"/>
    </row>
    <row r="309" spans="3:7">
      <c r="C309" s="93"/>
      <c r="E309" s="96"/>
      <c r="F309" s="178"/>
      <c r="G309" s="93"/>
    </row>
    <row r="310" spans="3:7">
      <c r="C310" s="93"/>
      <c r="E310" s="96"/>
      <c r="F310" s="178"/>
      <c r="G310" s="93"/>
    </row>
    <row r="311" spans="3:7">
      <c r="C311" s="93"/>
      <c r="E311" s="96"/>
      <c r="F311" s="178"/>
      <c r="G311" s="93"/>
    </row>
    <row r="312" spans="3:7">
      <c r="C312" s="93"/>
      <c r="E312" s="96"/>
      <c r="F312" s="178"/>
      <c r="G312" s="93"/>
    </row>
    <row r="313" spans="3:7">
      <c r="C313" s="93"/>
      <c r="E313" s="96"/>
      <c r="F313" s="178"/>
      <c r="G313" s="93"/>
    </row>
    <row r="314" spans="3:7">
      <c r="C314" s="93"/>
      <c r="E314" s="96"/>
      <c r="F314" s="178"/>
      <c r="G314" s="93"/>
    </row>
    <row r="315" spans="3:7">
      <c r="C315" s="93"/>
      <c r="E315" s="96"/>
      <c r="F315" s="178"/>
      <c r="G315" s="93"/>
    </row>
    <row r="316" spans="3:7">
      <c r="C316" s="93"/>
      <c r="E316" s="96"/>
      <c r="F316" s="178"/>
      <c r="G316" s="93"/>
    </row>
    <row r="317" spans="3:7">
      <c r="C317" s="93"/>
      <c r="E317" s="96"/>
      <c r="F317" s="178"/>
      <c r="G317" s="93"/>
    </row>
    <row r="318" spans="3:7">
      <c r="C318" s="93"/>
      <c r="E318" s="96"/>
      <c r="F318" s="178"/>
      <c r="G318" s="93"/>
    </row>
    <row r="319" spans="3:7">
      <c r="C319" s="93"/>
      <c r="E319" s="96"/>
      <c r="F319" s="178"/>
      <c r="G319" s="93"/>
    </row>
    <row r="320" spans="3:7">
      <c r="C320" s="93"/>
      <c r="E320" s="96"/>
      <c r="F320" s="178"/>
      <c r="G320" s="93"/>
    </row>
    <row r="321" spans="3:7">
      <c r="C321" s="93"/>
      <c r="E321" s="96"/>
      <c r="F321" s="178"/>
      <c r="G321" s="93"/>
    </row>
    <row r="322" spans="3:7">
      <c r="C322" s="93"/>
      <c r="E322" s="96"/>
      <c r="F322" s="178"/>
      <c r="G322" s="93"/>
    </row>
    <row r="323" spans="3:7">
      <c r="C323" s="93"/>
      <c r="E323" s="96"/>
      <c r="F323" s="178"/>
      <c r="G323" s="93"/>
    </row>
    <row r="324" spans="3:7">
      <c r="C324" s="93"/>
      <c r="E324" s="96"/>
      <c r="F324" s="178"/>
      <c r="G324" s="93"/>
    </row>
    <row r="325" spans="3:7">
      <c r="C325" s="93"/>
      <c r="E325" s="96"/>
      <c r="F325" s="178"/>
      <c r="G325" s="93"/>
    </row>
    <row r="326" spans="3:7">
      <c r="C326" s="93"/>
      <c r="E326" s="96"/>
      <c r="F326" s="178"/>
      <c r="G326" s="93"/>
    </row>
    <row r="327" spans="3:7">
      <c r="C327" s="93"/>
      <c r="E327" s="96"/>
      <c r="F327" s="178"/>
      <c r="G327" s="93"/>
    </row>
    <row r="328" spans="3:7">
      <c r="C328" s="93"/>
      <c r="E328" s="96"/>
      <c r="F328" s="178"/>
      <c r="G328" s="93"/>
    </row>
    <row r="329" spans="3:7">
      <c r="C329" s="93"/>
      <c r="E329" s="96"/>
      <c r="F329" s="178"/>
      <c r="G329" s="93"/>
    </row>
    <row r="330" spans="3:7">
      <c r="C330" s="93"/>
      <c r="E330" s="96"/>
      <c r="F330" s="178"/>
      <c r="G330" s="93"/>
    </row>
    <row r="331" spans="3:7">
      <c r="C331" s="93"/>
      <c r="E331" s="96"/>
      <c r="F331" s="178"/>
      <c r="G331" s="93"/>
    </row>
    <row r="332" spans="3:7">
      <c r="C332" s="93"/>
      <c r="E332" s="96"/>
      <c r="F332" s="178"/>
      <c r="G332" s="93"/>
    </row>
    <row r="333" spans="3:7">
      <c r="C333" s="93"/>
      <c r="E333" s="96"/>
      <c r="F333" s="178"/>
      <c r="G333" s="93"/>
    </row>
    <row r="334" spans="3:7">
      <c r="C334" s="93"/>
      <c r="E334" s="96"/>
      <c r="F334" s="178"/>
      <c r="G334" s="93"/>
    </row>
    <row r="335" spans="3:7">
      <c r="C335" s="93"/>
      <c r="E335" s="96"/>
      <c r="F335" s="178"/>
      <c r="G335" s="93"/>
    </row>
    <row r="336" spans="3:7">
      <c r="C336" s="93"/>
      <c r="E336" s="96"/>
      <c r="F336" s="178"/>
      <c r="G336" s="93"/>
    </row>
    <row r="337" spans="3:7">
      <c r="C337" s="93"/>
      <c r="E337" s="96"/>
      <c r="F337" s="178"/>
      <c r="G337" s="93"/>
    </row>
    <row r="338" spans="3:7">
      <c r="C338" s="93"/>
      <c r="E338" s="96"/>
      <c r="F338" s="178"/>
      <c r="G338" s="93"/>
    </row>
    <row r="339" spans="3:7">
      <c r="C339" s="93"/>
      <c r="E339" s="96"/>
      <c r="F339" s="178"/>
      <c r="G339" s="93"/>
    </row>
    <row r="340" spans="3:7">
      <c r="C340" s="93"/>
      <c r="E340" s="96"/>
      <c r="F340" s="178"/>
      <c r="G340" s="93"/>
    </row>
    <row r="341" spans="3:7">
      <c r="C341" s="93"/>
      <c r="E341" s="96"/>
      <c r="F341" s="178"/>
      <c r="G341" s="93"/>
    </row>
    <row r="342" spans="3:7">
      <c r="C342" s="93"/>
      <c r="E342" s="96"/>
      <c r="F342" s="178"/>
      <c r="G342" s="93"/>
    </row>
    <row r="343" spans="3:7">
      <c r="C343" s="93"/>
      <c r="E343" s="96"/>
      <c r="F343" s="178"/>
      <c r="G343" s="93"/>
    </row>
    <row r="344" spans="3:7">
      <c r="C344" s="93"/>
      <c r="E344" s="96"/>
      <c r="F344" s="178"/>
      <c r="G344" s="93"/>
    </row>
    <row r="345" spans="3:7">
      <c r="C345" s="93"/>
      <c r="E345" s="96"/>
      <c r="F345" s="178"/>
      <c r="G345" s="93"/>
    </row>
    <row r="346" spans="3:7">
      <c r="C346" s="93"/>
      <c r="E346" s="96"/>
      <c r="F346" s="178"/>
      <c r="G346" s="93"/>
    </row>
    <row r="347" spans="3:7">
      <c r="C347" s="93"/>
      <c r="E347" s="96"/>
      <c r="F347" s="178"/>
      <c r="G347" s="93"/>
    </row>
    <row r="348" spans="3:7">
      <c r="C348" s="93"/>
      <c r="E348" s="96"/>
      <c r="F348" s="178"/>
      <c r="G348" s="93"/>
    </row>
    <row r="349" spans="3:7">
      <c r="C349" s="93"/>
      <c r="E349" s="96"/>
      <c r="F349" s="178"/>
      <c r="G349" s="93"/>
    </row>
    <row r="350" spans="3:7">
      <c r="C350" s="93"/>
      <c r="E350" s="96"/>
      <c r="F350" s="178"/>
      <c r="G350" s="93"/>
    </row>
    <row r="351" spans="3:7">
      <c r="C351" s="93"/>
      <c r="E351" s="96"/>
      <c r="F351" s="178"/>
      <c r="G351" s="93"/>
    </row>
    <row r="352" spans="3:7">
      <c r="C352" s="93"/>
      <c r="E352" s="96"/>
      <c r="F352" s="178"/>
      <c r="G352" s="93"/>
    </row>
    <row r="353" spans="3:7">
      <c r="C353" s="93"/>
      <c r="E353" s="96"/>
      <c r="F353" s="178"/>
      <c r="G353" s="93"/>
    </row>
    <row r="354" spans="3:7">
      <c r="C354" s="93"/>
      <c r="E354" s="96"/>
      <c r="F354" s="178"/>
      <c r="G354" s="93"/>
    </row>
    <row r="355" spans="3:7">
      <c r="C355" s="93"/>
      <c r="E355" s="96"/>
      <c r="F355" s="178"/>
      <c r="G355" s="93"/>
    </row>
    <row r="356" spans="3:7">
      <c r="C356" s="93"/>
      <c r="E356" s="96"/>
      <c r="F356" s="178"/>
      <c r="G356" s="93"/>
    </row>
    <row r="357" spans="3:7">
      <c r="C357" s="93"/>
      <c r="E357" s="96"/>
      <c r="F357" s="178"/>
      <c r="G357" s="93"/>
    </row>
    <row r="358" spans="3:7">
      <c r="C358" s="93"/>
      <c r="E358" s="96"/>
      <c r="F358" s="178"/>
      <c r="G358" s="93"/>
    </row>
    <row r="359" spans="3:7">
      <c r="C359" s="93"/>
      <c r="E359" s="96"/>
      <c r="F359" s="178"/>
      <c r="G359" s="93"/>
    </row>
    <row r="360" spans="3:7">
      <c r="C360" s="93"/>
      <c r="E360" s="96"/>
      <c r="F360" s="178"/>
      <c r="G360" s="93"/>
    </row>
    <row r="361" spans="3:7">
      <c r="C361" s="93"/>
      <c r="E361" s="96"/>
      <c r="F361" s="178"/>
      <c r="G361" s="93"/>
    </row>
    <row r="362" spans="3:7">
      <c r="C362" s="93"/>
      <c r="E362" s="96"/>
      <c r="F362" s="178"/>
      <c r="G362" s="93"/>
    </row>
    <row r="363" spans="3:7">
      <c r="C363" s="93"/>
      <c r="E363" s="96"/>
      <c r="F363" s="178"/>
      <c r="G363" s="93"/>
    </row>
    <row r="364" spans="3:7">
      <c r="C364" s="93"/>
      <c r="E364" s="96"/>
      <c r="F364" s="178"/>
      <c r="G364" s="93"/>
    </row>
    <row r="365" spans="3:7">
      <c r="C365" s="93"/>
      <c r="E365" s="96"/>
      <c r="F365" s="178"/>
      <c r="G365" s="93"/>
    </row>
    <row r="366" spans="3:7">
      <c r="C366" s="93"/>
      <c r="E366" s="96"/>
      <c r="F366" s="178"/>
      <c r="G366" s="93"/>
    </row>
    <row r="367" spans="3:7">
      <c r="C367" s="93"/>
      <c r="E367" s="96"/>
      <c r="F367" s="178"/>
      <c r="G367" s="93"/>
    </row>
    <row r="368" spans="3:7">
      <c r="C368" s="93"/>
      <c r="E368" s="96"/>
      <c r="F368" s="178"/>
      <c r="G368" s="93"/>
    </row>
    <row r="369" spans="3:7">
      <c r="C369" s="93"/>
      <c r="E369" s="96"/>
      <c r="F369" s="178"/>
      <c r="G369" s="93"/>
    </row>
    <row r="370" spans="3:7">
      <c r="C370" s="93"/>
      <c r="E370" s="96"/>
      <c r="F370" s="178"/>
      <c r="G370" s="93"/>
    </row>
    <row r="371" spans="3:7">
      <c r="C371" s="93"/>
      <c r="E371" s="96"/>
      <c r="F371" s="178"/>
      <c r="G371" s="93"/>
    </row>
    <row r="372" spans="3:7">
      <c r="C372" s="93"/>
      <c r="E372" s="96"/>
      <c r="F372" s="178"/>
      <c r="G372" s="93"/>
    </row>
    <row r="373" spans="3:7">
      <c r="C373" s="93"/>
      <c r="E373" s="96"/>
      <c r="F373" s="178"/>
      <c r="G373" s="93"/>
    </row>
    <row r="374" spans="3:7">
      <c r="C374" s="93"/>
      <c r="E374" s="96"/>
      <c r="F374" s="178"/>
      <c r="G374" s="93"/>
    </row>
    <row r="375" spans="3:7">
      <c r="C375" s="93"/>
      <c r="E375" s="96"/>
      <c r="F375" s="178"/>
      <c r="G375" s="93"/>
    </row>
    <row r="376" spans="3:7">
      <c r="C376" s="93"/>
      <c r="E376" s="96"/>
      <c r="F376" s="178"/>
      <c r="G376" s="93"/>
    </row>
    <row r="377" spans="3:7">
      <c r="C377" s="93"/>
      <c r="E377" s="96"/>
      <c r="F377" s="178"/>
      <c r="G377" s="93"/>
    </row>
    <row r="378" spans="3:7">
      <c r="C378" s="93"/>
      <c r="E378" s="96"/>
      <c r="F378" s="178"/>
      <c r="G378" s="93"/>
    </row>
    <row r="379" spans="3:7">
      <c r="C379" s="93"/>
      <c r="E379" s="96"/>
      <c r="F379" s="178"/>
      <c r="G379" s="93"/>
    </row>
    <row r="380" spans="3:7">
      <c r="C380" s="93"/>
      <c r="E380" s="96"/>
      <c r="F380" s="178"/>
      <c r="G380" s="93"/>
    </row>
    <row r="381" spans="3:7">
      <c r="C381" s="93"/>
      <c r="E381" s="96"/>
      <c r="F381" s="178"/>
      <c r="G381" s="93"/>
    </row>
    <row r="382" spans="3:7">
      <c r="C382" s="93"/>
      <c r="E382" s="96"/>
      <c r="F382" s="178"/>
      <c r="G382" s="93"/>
    </row>
    <row r="383" spans="3:7">
      <c r="C383" s="93"/>
      <c r="E383" s="96"/>
      <c r="F383" s="178"/>
      <c r="G383" s="93"/>
    </row>
    <row r="384" spans="3:7">
      <c r="C384" s="93"/>
      <c r="E384" s="96"/>
      <c r="F384" s="178"/>
      <c r="G384" s="93"/>
    </row>
    <row r="385" spans="3:7">
      <c r="C385" s="93"/>
      <c r="E385" s="96"/>
      <c r="F385" s="178"/>
      <c r="G385" s="93"/>
    </row>
    <row r="386" spans="3:7">
      <c r="C386" s="93"/>
      <c r="E386" s="96"/>
      <c r="F386" s="178"/>
      <c r="G386" s="93"/>
    </row>
    <row r="387" spans="3:7">
      <c r="C387" s="93"/>
      <c r="E387" s="96"/>
      <c r="F387" s="178"/>
      <c r="G387" s="93"/>
    </row>
    <row r="388" spans="3:7">
      <c r="C388" s="93"/>
      <c r="E388" s="96"/>
      <c r="F388" s="178"/>
      <c r="G388" s="93"/>
    </row>
    <row r="389" spans="3:7">
      <c r="C389" s="93"/>
      <c r="E389" s="96"/>
      <c r="F389" s="178"/>
      <c r="G389" s="93"/>
    </row>
    <row r="390" spans="3:7">
      <c r="C390" s="93"/>
      <c r="E390" s="96"/>
      <c r="F390" s="178"/>
      <c r="G390" s="93"/>
    </row>
    <row r="391" spans="3:7">
      <c r="C391" s="93"/>
      <c r="E391" s="96"/>
      <c r="F391" s="178"/>
      <c r="G391" s="93"/>
    </row>
    <row r="392" spans="3:7">
      <c r="C392" s="93"/>
      <c r="E392" s="96"/>
      <c r="F392" s="178"/>
      <c r="G392" s="93"/>
    </row>
    <row r="393" spans="3:7">
      <c r="C393" s="93"/>
      <c r="E393" s="96"/>
      <c r="F393" s="178"/>
      <c r="G393" s="93"/>
    </row>
    <row r="394" spans="3:7">
      <c r="C394" s="93"/>
      <c r="E394" s="96"/>
      <c r="F394" s="178"/>
      <c r="G394" s="93"/>
    </row>
    <row r="395" spans="3:7">
      <c r="C395" s="93"/>
      <c r="E395" s="96"/>
      <c r="F395" s="178"/>
      <c r="G395" s="93"/>
    </row>
    <row r="396" spans="3:7">
      <c r="C396" s="93"/>
      <c r="E396" s="96"/>
      <c r="F396" s="178"/>
      <c r="G396" s="93"/>
    </row>
    <row r="397" spans="3:7">
      <c r="C397" s="93"/>
      <c r="E397" s="96"/>
      <c r="F397" s="178"/>
      <c r="G397" s="93"/>
    </row>
    <row r="398" spans="3:7">
      <c r="C398" s="93"/>
      <c r="E398" s="96"/>
      <c r="F398" s="178"/>
      <c r="G398" s="93"/>
    </row>
    <row r="399" spans="3:7">
      <c r="C399" s="93"/>
      <c r="E399" s="96"/>
      <c r="F399" s="178"/>
      <c r="G399" s="93"/>
    </row>
    <row r="400" spans="3:7">
      <c r="C400" s="93"/>
      <c r="E400" s="96"/>
      <c r="F400" s="178"/>
      <c r="G400" s="93"/>
    </row>
    <row r="401" spans="3:7">
      <c r="C401" s="93"/>
      <c r="E401" s="96"/>
      <c r="F401" s="178"/>
      <c r="G401" s="93"/>
    </row>
    <row r="402" spans="3:7">
      <c r="C402" s="93"/>
      <c r="E402" s="96"/>
      <c r="F402" s="178"/>
      <c r="G402" s="93"/>
    </row>
    <row r="403" spans="3:7">
      <c r="C403" s="93"/>
      <c r="E403" s="96"/>
      <c r="F403" s="178"/>
      <c r="G403" s="93"/>
    </row>
    <row r="404" spans="3:7">
      <c r="C404" s="93"/>
      <c r="E404" s="96"/>
      <c r="F404" s="178"/>
      <c r="G404" s="93"/>
    </row>
    <row r="405" spans="3:7">
      <c r="C405" s="93"/>
      <c r="E405" s="96"/>
      <c r="F405" s="178"/>
      <c r="G405" s="93"/>
    </row>
    <row r="406" spans="3:7">
      <c r="C406" s="93"/>
      <c r="E406" s="96"/>
      <c r="F406" s="178"/>
      <c r="G406" s="93"/>
    </row>
    <row r="407" spans="3:7">
      <c r="C407" s="93"/>
      <c r="E407" s="96"/>
      <c r="F407" s="178"/>
      <c r="G407" s="93"/>
    </row>
    <row r="408" spans="3:7">
      <c r="C408" s="93"/>
      <c r="E408" s="96"/>
      <c r="F408" s="178"/>
      <c r="G408" s="93"/>
    </row>
    <row r="409" spans="3:7">
      <c r="C409" s="93"/>
      <c r="E409" s="96"/>
      <c r="F409" s="178"/>
      <c r="G409" s="93"/>
    </row>
    <row r="410" spans="3:7">
      <c r="C410" s="93"/>
      <c r="E410" s="96"/>
      <c r="F410" s="178"/>
      <c r="G410" s="93"/>
    </row>
    <row r="411" spans="3:7">
      <c r="C411" s="93"/>
      <c r="E411" s="96"/>
      <c r="F411" s="178"/>
      <c r="G411" s="93"/>
    </row>
    <row r="412" spans="3:7">
      <c r="C412" s="93"/>
      <c r="E412" s="96"/>
      <c r="F412" s="178"/>
      <c r="G412" s="93"/>
    </row>
    <row r="413" spans="3:7">
      <c r="C413" s="93"/>
      <c r="E413" s="96"/>
      <c r="F413" s="178"/>
      <c r="G413" s="93"/>
    </row>
    <row r="414" spans="3:7">
      <c r="C414" s="93"/>
      <c r="E414" s="96"/>
      <c r="F414" s="178"/>
      <c r="G414" s="93"/>
    </row>
    <row r="415" spans="3:7">
      <c r="C415" s="93"/>
      <c r="E415" s="96"/>
      <c r="F415" s="178"/>
      <c r="G415" s="93"/>
    </row>
    <row r="416" spans="3:7">
      <c r="C416" s="93"/>
      <c r="E416" s="96"/>
      <c r="F416" s="178"/>
      <c r="G416" s="93"/>
    </row>
    <row r="417" spans="3:7">
      <c r="C417" s="93"/>
      <c r="E417" s="96"/>
      <c r="F417" s="178"/>
      <c r="G417" s="93"/>
    </row>
    <row r="418" spans="3:7">
      <c r="C418" s="93"/>
      <c r="E418" s="96"/>
      <c r="F418" s="178"/>
      <c r="G418" s="93"/>
    </row>
    <row r="419" spans="3:7">
      <c r="C419" s="93"/>
      <c r="E419" s="96"/>
      <c r="F419" s="178"/>
      <c r="G419" s="93"/>
    </row>
    <row r="420" spans="3:7">
      <c r="C420" s="93"/>
      <c r="E420" s="96"/>
      <c r="F420" s="178"/>
      <c r="G420" s="93"/>
    </row>
    <row r="421" spans="3:7">
      <c r="C421" s="93"/>
      <c r="E421" s="96"/>
      <c r="F421" s="178"/>
      <c r="G421" s="93"/>
    </row>
    <row r="422" spans="3:7">
      <c r="C422" s="93"/>
      <c r="E422" s="96"/>
      <c r="F422" s="178"/>
      <c r="G422" s="93"/>
    </row>
    <row r="423" spans="3:7">
      <c r="C423" s="93"/>
      <c r="E423" s="96"/>
      <c r="F423" s="178"/>
      <c r="G423" s="93"/>
    </row>
    <row r="424" spans="3:7">
      <c r="C424" s="93"/>
      <c r="E424" s="96"/>
      <c r="F424" s="178"/>
      <c r="G424" s="93"/>
    </row>
    <row r="425" spans="3:7">
      <c r="C425" s="93"/>
      <c r="E425" s="96"/>
      <c r="F425" s="178"/>
      <c r="G425" s="93"/>
    </row>
    <row r="426" spans="3:7">
      <c r="C426" s="93"/>
      <c r="E426" s="96"/>
      <c r="F426" s="178"/>
      <c r="G426" s="93"/>
    </row>
    <row r="427" spans="3:7">
      <c r="C427" s="93"/>
      <c r="E427" s="96"/>
      <c r="F427" s="178"/>
      <c r="G427" s="93"/>
    </row>
    <row r="428" spans="3:7">
      <c r="C428" s="93"/>
      <c r="E428" s="96"/>
      <c r="F428" s="178"/>
      <c r="G428" s="93"/>
    </row>
    <row r="429" spans="3:7">
      <c r="C429" s="93"/>
      <c r="E429" s="96"/>
      <c r="F429" s="178"/>
      <c r="G429" s="93"/>
    </row>
    <row r="430" spans="3:7">
      <c r="C430" s="93"/>
      <c r="E430" s="96"/>
      <c r="F430" s="178"/>
      <c r="G430" s="93"/>
    </row>
    <row r="431" spans="3:7">
      <c r="C431" s="93"/>
      <c r="E431" s="96"/>
      <c r="F431" s="178"/>
      <c r="G431" s="93"/>
    </row>
    <row r="432" spans="3:7">
      <c r="C432" s="93"/>
      <c r="E432" s="96"/>
      <c r="F432" s="178"/>
      <c r="G432" s="93"/>
    </row>
    <row r="433" spans="3:7">
      <c r="C433" s="93"/>
      <c r="E433" s="96"/>
      <c r="F433" s="178"/>
      <c r="G433" s="93"/>
    </row>
    <row r="434" spans="3:7">
      <c r="C434" s="93"/>
      <c r="E434" s="96"/>
      <c r="F434" s="178"/>
      <c r="G434" s="93"/>
    </row>
    <row r="435" spans="3:7">
      <c r="C435" s="93"/>
      <c r="E435" s="96"/>
      <c r="F435" s="178"/>
      <c r="G435" s="93"/>
    </row>
    <row r="436" spans="3:7">
      <c r="C436" s="93"/>
      <c r="E436" s="96"/>
      <c r="F436" s="178"/>
      <c r="G436" s="93"/>
    </row>
    <row r="437" spans="3:7">
      <c r="C437" s="93"/>
      <c r="E437" s="96"/>
      <c r="F437" s="178"/>
      <c r="G437" s="93"/>
    </row>
    <row r="438" spans="3:7">
      <c r="C438" s="93"/>
      <c r="E438" s="96"/>
      <c r="F438" s="178"/>
      <c r="G438" s="93"/>
    </row>
    <row r="439" spans="3:7">
      <c r="C439" s="93"/>
      <c r="E439" s="96"/>
      <c r="F439" s="178"/>
      <c r="G439" s="93"/>
    </row>
    <row r="440" spans="3:7">
      <c r="C440" s="93"/>
      <c r="E440" s="96"/>
      <c r="F440" s="178"/>
      <c r="G440" s="93"/>
    </row>
    <row r="441" spans="3:7">
      <c r="C441" s="93"/>
      <c r="E441" s="96"/>
      <c r="F441" s="178"/>
      <c r="G441" s="93"/>
    </row>
    <row r="442" spans="3:7">
      <c r="C442" s="93"/>
      <c r="E442" s="96"/>
      <c r="F442" s="178"/>
      <c r="G442" s="93"/>
    </row>
    <row r="443" spans="3:7">
      <c r="C443" s="93"/>
      <c r="E443" s="96"/>
      <c r="F443" s="178"/>
      <c r="G443" s="93"/>
    </row>
    <row r="444" spans="3:7">
      <c r="C444" s="93"/>
      <c r="E444" s="96"/>
      <c r="F444" s="178"/>
      <c r="G444" s="93"/>
    </row>
    <row r="445" spans="3:7">
      <c r="C445" s="93"/>
      <c r="E445" s="96"/>
      <c r="F445" s="178"/>
      <c r="G445" s="93"/>
    </row>
    <row r="446" spans="3:7">
      <c r="C446" s="93"/>
      <c r="E446" s="96"/>
      <c r="F446" s="178"/>
      <c r="G446" s="93"/>
    </row>
    <row r="447" spans="3:7">
      <c r="C447" s="93"/>
      <c r="E447" s="96"/>
      <c r="F447" s="178"/>
      <c r="G447" s="93"/>
    </row>
    <row r="448" spans="3:7">
      <c r="C448" s="93"/>
      <c r="E448" s="96"/>
      <c r="F448" s="178"/>
      <c r="G448" s="93"/>
    </row>
    <row r="449" spans="3:7">
      <c r="C449" s="93"/>
      <c r="E449" s="96"/>
      <c r="F449" s="178"/>
      <c r="G449" s="93"/>
    </row>
    <row r="450" spans="3:7">
      <c r="C450" s="93"/>
      <c r="E450" s="96"/>
      <c r="F450" s="178"/>
      <c r="G450" s="93"/>
    </row>
    <row r="451" spans="3:7">
      <c r="C451" s="93"/>
      <c r="E451" s="96"/>
      <c r="F451" s="178"/>
      <c r="G451" s="93"/>
    </row>
    <row r="452" spans="3:7">
      <c r="C452" s="93"/>
      <c r="E452" s="96"/>
      <c r="F452" s="178"/>
      <c r="G452" s="93"/>
    </row>
    <row r="453" spans="3:7">
      <c r="C453" s="93"/>
      <c r="E453" s="96"/>
      <c r="F453" s="178"/>
      <c r="G453" s="93"/>
    </row>
    <row r="454" spans="3:7">
      <c r="C454" s="93"/>
      <c r="E454" s="96"/>
      <c r="F454" s="178"/>
      <c r="G454" s="93"/>
    </row>
    <row r="455" spans="3:7">
      <c r="C455" s="93"/>
      <c r="E455" s="96"/>
      <c r="F455" s="178"/>
      <c r="G455" s="93"/>
    </row>
    <row r="456" spans="3:7">
      <c r="C456" s="93"/>
      <c r="E456" s="96"/>
      <c r="F456" s="178"/>
      <c r="G456" s="93"/>
    </row>
    <row r="457" spans="3:7">
      <c r="C457" s="93"/>
      <c r="E457" s="96"/>
      <c r="F457" s="178"/>
      <c r="G457" s="93"/>
    </row>
    <row r="458" spans="3:7">
      <c r="C458" s="93"/>
      <c r="E458" s="96"/>
      <c r="F458" s="178"/>
      <c r="G458" s="93"/>
    </row>
    <row r="459" spans="3:7">
      <c r="C459" s="93"/>
      <c r="E459" s="96"/>
      <c r="F459" s="178"/>
      <c r="G459" s="93"/>
    </row>
    <row r="460" spans="3:7">
      <c r="C460" s="93"/>
      <c r="E460" s="96"/>
      <c r="F460" s="178"/>
      <c r="G460" s="93"/>
    </row>
    <row r="461" spans="3:7">
      <c r="C461" s="93"/>
      <c r="E461" s="96"/>
      <c r="F461" s="178"/>
      <c r="G461" s="93"/>
    </row>
    <row r="462" spans="3:7">
      <c r="C462" s="93"/>
      <c r="E462" s="96"/>
      <c r="F462" s="178"/>
      <c r="G462" s="93"/>
    </row>
    <row r="463" spans="3:7">
      <c r="C463" s="93"/>
      <c r="E463" s="96"/>
      <c r="F463" s="178"/>
      <c r="G463" s="93"/>
    </row>
    <row r="464" spans="3:7">
      <c r="C464" s="93"/>
      <c r="E464" s="96"/>
      <c r="F464" s="178"/>
      <c r="G464" s="93"/>
    </row>
    <row r="465" spans="3:7">
      <c r="C465" s="93"/>
      <c r="E465" s="96"/>
      <c r="F465" s="178"/>
      <c r="G465" s="93"/>
    </row>
    <row r="466" spans="3:7">
      <c r="C466" s="93"/>
      <c r="E466" s="96"/>
      <c r="F466" s="178"/>
      <c r="G466" s="93"/>
    </row>
    <row r="467" spans="3:7">
      <c r="C467" s="93"/>
      <c r="E467" s="96"/>
      <c r="F467" s="178"/>
      <c r="G467" s="93"/>
    </row>
    <row r="468" spans="3:7">
      <c r="C468" s="93"/>
      <c r="E468" s="96"/>
      <c r="F468" s="178"/>
      <c r="G468" s="93"/>
    </row>
    <row r="469" spans="3:7">
      <c r="C469" s="93"/>
      <c r="E469" s="96"/>
      <c r="F469" s="178"/>
      <c r="G469" s="93"/>
    </row>
    <row r="470" spans="3:7">
      <c r="C470" s="93"/>
      <c r="E470" s="96"/>
      <c r="F470" s="178"/>
      <c r="G470" s="93"/>
    </row>
    <row r="471" spans="3:7">
      <c r="C471" s="93"/>
      <c r="E471" s="96"/>
      <c r="F471" s="178"/>
      <c r="G471" s="93"/>
    </row>
    <row r="472" spans="3:7">
      <c r="C472" s="93"/>
      <c r="E472" s="96"/>
      <c r="F472" s="178"/>
      <c r="G472" s="93"/>
    </row>
    <row r="473" spans="3:7">
      <c r="C473" s="93"/>
      <c r="E473" s="96"/>
      <c r="F473" s="178"/>
      <c r="G473" s="93"/>
    </row>
    <row r="474" spans="3:7">
      <c r="C474" s="93"/>
      <c r="E474" s="96"/>
      <c r="F474" s="178"/>
      <c r="G474" s="93"/>
    </row>
    <row r="475" spans="3:7">
      <c r="C475" s="93"/>
      <c r="E475" s="96"/>
      <c r="F475" s="178"/>
      <c r="G475" s="93"/>
    </row>
    <row r="476" spans="3:7">
      <c r="C476" s="93"/>
      <c r="E476" s="96"/>
      <c r="F476" s="178"/>
      <c r="G476" s="93"/>
    </row>
    <row r="477" spans="3:7">
      <c r="C477" s="93"/>
      <c r="E477" s="96"/>
      <c r="F477" s="178"/>
      <c r="G477" s="93"/>
    </row>
    <row r="478" spans="3:7">
      <c r="C478" s="93"/>
      <c r="E478" s="96"/>
      <c r="F478" s="178"/>
      <c r="G478" s="93"/>
    </row>
    <row r="479" spans="3:7">
      <c r="C479" s="93"/>
      <c r="E479" s="96"/>
      <c r="F479" s="178"/>
      <c r="G479" s="93"/>
    </row>
    <row r="480" spans="3:7">
      <c r="C480" s="93"/>
      <c r="E480" s="96"/>
      <c r="F480" s="178"/>
      <c r="G480" s="93"/>
    </row>
    <row r="481" spans="3:7">
      <c r="C481" s="93"/>
      <c r="E481" s="96"/>
      <c r="F481" s="178"/>
      <c r="G481" s="93"/>
    </row>
    <row r="482" spans="3:7">
      <c r="C482" s="93"/>
      <c r="E482" s="96"/>
      <c r="F482" s="178"/>
      <c r="G482" s="93"/>
    </row>
    <row r="483" spans="3:7">
      <c r="C483" s="93"/>
      <c r="E483" s="96"/>
      <c r="F483" s="178"/>
      <c r="G483" s="93"/>
    </row>
    <row r="484" spans="3:7">
      <c r="C484" s="93"/>
      <c r="E484" s="96"/>
      <c r="F484" s="178"/>
      <c r="G484" s="93"/>
    </row>
    <row r="485" spans="3:7">
      <c r="C485" s="93"/>
      <c r="E485" s="96"/>
      <c r="F485" s="178"/>
      <c r="G485" s="93"/>
    </row>
    <row r="486" spans="3:7">
      <c r="C486" s="93"/>
      <c r="E486" s="96"/>
      <c r="F486" s="178"/>
      <c r="G486" s="93"/>
    </row>
    <row r="487" spans="3:7">
      <c r="C487" s="93"/>
      <c r="E487" s="96"/>
      <c r="F487" s="178"/>
      <c r="G487" s="93"/>
    </row>
    <row r="488" spans="3:7">
      <c r="C488" s="93"/>
      <c r="E488" s="96"/>
      <c r="F488" s="178"/>
      <c r="G488" s="93"/>
    </row>
    <row r="489" spans="3:7">
      <c r="C489" s="93"/>
      <c r="E489" s="96"/>
      <c r="F489" s="178"/>
      <c r="G489" s="93"/>
    </row>
    <row r="490" spans="3:7">
      <c r="C490" s="93"/>
      <c r="E490" s="96"/>
      <c r="F490" s="178"/>
      <c r="G490" s="93"/>
    </row>
    <row r="491" spans="3:7">
      <c r="C491" s="93"/>
      <c r="E491" s="96"/>
      <c r="F491" s="178"/>
      <c r="G491" s="93"/>
    </row>
    <row r="492" spans="3:7">
      <c r="C492" s="93"/>
      <c r="E492" s="96"/>
      <c r="F492" s="178"/>
      <c r="G492" s="93"/>
    </row>
    <row r="493" spans="3:7">
      <c r="C493" s="93"/>
      <c r="E493" s="96"/>
      <c r="F493" s="178"/>
      <c r="G493" s="93"/>
    </row>
    <row r="494" spans="3:7">
      <c r="C494" s="93"/>
      <c r="E494" s="96"/>
      <c r="F494" s="178"/>
      <c r="G494" s="93"/>
    </row>
    <row r="495" spans="3:7">
      <c r="C495" s="93"/>
      <c r="E495" s="96"/>
      <c r="F495" s="178"/>
      <c r="G495" s="93"/>
    </row>
    <row r="496" spans="3:7">
      <c r="C496" s="93"/>
      <c r="E496" s="96"/>
      <c r="F496" s="178"/>
      <c r="G496" s="93"/>
    </row>
    <row r="497" spans="3:7">
      <c r="C497" s="93"/>
      <c r="E497" s="96"/>
      <c r="F497" s="178"/>
      <c r="G497" s="93"/>
    </row>
    <row r="498" spans="3:7">
      <c r="C498" s="93"/>
      <c r="E498" s="96"/>
      <c r="F498" s="178"/>
      <c r="G498" s="93"/>
    </row>
    <row r="499" spans="3:7">
      <c r="C499" s="93"/>
      <c r="E499" s="96"/>
      <c r="F499" s="178"/>
      <c r="G499" s="93"/>
    </row>
    <row r="500" spans="3:7">
      <c r="C500" s="93"/>
      <c r="E500" s="96"/>
      <c r="F500" s="178"/>
      <c r="G500" s="93"/>
    </row>
    <row r="501" spans="3:7">
      <c r="C501" s="93"/>
      <c r="E501" s="96"/>
      <c r="F501" s="178"/>
      <c r="G501" s="93"/>
    </row>
    <row r="502" spans="3:7">
      <c r="C502" s="93"/>
      <c r="E502" s="96"/>
      <c r="F502" s="178"/>
      <c r="G502" s="93"/>
    </row>
    <row r="503" spans="3:7">
      <c r="C503" s="93"/>
      <c r="E503" s="96"/>
      <c r="F503" s="178"/>
      <c r="G503" s="93"/>
    </row>
    <row r="504" spans="3:7">
      <c r="C504" s="93"/>
      <c r="E504" s="96"/>
      <c r="F504" s="178"/>
      <c r="G504" s="93"/>
    </row>
    <row r="505" spans="3:7">
      <c r="C505" s="93"/>
      <c r="E505" s="96"/>
      <c r="F505" s="178"/>
      <c r="G505" s="93"/>
    </row>
    <row r="506" spans="3:7">
      <c r="C506" s="93"/>
      <c r="E506" s="96"/>
      <c r="F506" s="178"/>
      <c r="G506" s="93"/>
    </row>
    <row r="507" spans="3:7">
      <c r="C507" s="93"/>
      <c r="E507" s="96"/>
      <c r="F507" s="178"/>
      <c r="G507" s="93"/>
    </row>
    <row r="508" spans="3:7">
      <c r="C508" s="93"/>
      <c r="E508" s="96"/>
      <c r="F508" s="178"/>
      <c r="G508" s="93"/>
    </row>
    <row r="509" spans="3:7">
      <c r="C509" s="93"/>
      <c r="E509" s="96"/>
      <c r="F509" s="178"/>
      <c r="G509" s="93"/>
    </row>
    <row r="510" spans="3:7">
      <c r="C510" s="93"/>
      <c r="E510" s="96"/>
      <c r="F510" s="178"/>
      <c r="G510" s="93"/>
    </row>
    <row r="511" spans="3:7">
      <c r="C511" s="93"/>
      <c r="E511" s="96"/>
      <c r="F511" s="178"/>
      <c r="G511" s="93"/>
    </row>
    <row r="512" spans="3:7">
      <c r="C512" s="93"/>
      <c r="E512" s="96"/>
      <c r="F512" s="178"/>
      <c r="G512" s="93"/>
    </row>
    <row r="513" spans="3:7">
      <c r="C513" s="93"/>
      <c r="E513" s="96"/>
      <c r="F513" s="178"/>
      <c r="G513" s="93"/>
    </row>
    <row r="514" spans="3:7">
      <c r="C514" s="93"/>
      <c r="E514" s="96"/>
      <c r="F514" s="178"/>
      <c r="G514" s="93"/>
    </row>
    <row r="515" spans="3:7">
      <c r="C515" s="93"/>
      <c r="E515" s="96"/>
      <c r="F515" s="178"/>
      <c r="G515" s="93"/>
    </row>
    <row r="516" spans="3:7">
      <c r="C516" s="93"/>
      <c r="E516" s="96"/>
      <c r="F516" s="178"/>
      <c r="G516" s="93"/>
    </row>
    <row r="517" spans="3:7">
      <c r="C517" s="93"/>
      <c r="E517" s="96"/>
      <c r="F517" s="178"/>
      <c r="G517" s="93"/>
    </row>
    <row r="518" spans="3:7">
      <c r="C518" s="93"/>
      <c r="E518" s="96"/>
      <c r="F518" s="178"/>
      <c r="G518" s="93"/>
    </row>
    <row r="519" spans="3:7">
      <c r="C519" s="93"/>
      <c r="E519" s="96"/>
      <c r="F519" s="178"/>
      <c r="G519" s="93"/>
    </row>
    <row r="520" spans="3:7">
      <c r="C520" s="93"/>
      <c r="E520" s="96"/>
      <c r="F520" s="178"/>
      <c r="G520" s="93"/>
    </row>
    <row r="521" spans="3:7">
      <c r="C521" s="93"/>
      <c r="E521" s="96"/>
      <c r="F521" s="178"/>
      <c r="G521" s="93"/>
    </row>
    <row r="522" spans="3:7">
      <c r="C522" s="93"/>
      <c r="E522" s="96"/>
      <c r="F522" s="178"/>
      <c r="G522" s="93"/>
    </row>
    <row r="523" spans="3:7">
      <c r="C523" s="93"/>
      <c r="E523" s="96"/>
      <c r="F523" s="178"/>
      <c r="G523" s="93"/>
    </row>
    <row r="524" spans="3:7">
      <c r="C524" s="93"/>
      <c r="E524" s="96"/>
      <c r="F524" s="178"/>
      <c r="G524" s="93"/>
    </row>
    <row r="525" spans="3:7">
      <c r="C525" s="93"/>
      <c r="E525" s="96"/>
      <c r="F525" s="178"/>
      <c r="G525" s="93"/>
    </row>
    <row r="526" spans="3:7">
      <c r="C526" s="93"/>
      <c r="E526" s="96"/>
      <c r="F526" s="178"/>
      <c r="G526" s="93"/>
    </row>
    <row r="527" spans="3:7">
      <c r="C527" s="93"/>
      <c r="E527" s="96"/>
      <c r="F527" s="178"/>
      <c r="G527" s="93"/>
    </row>
    <row r="528" spans="3:7">
      <c r="C528" s="93"/>
      <c r="E528" s="96"/>
      <c r="F528" s="178"/>
      <c r="G528" s="93"/>
    </row>
    <row r="529" spans="3:7">
      <c r="C529" s="93"/>
      <c r="E529" s="96"/>
      <c r="F529" s="178"/>
      <c r="G529" s="93"/>
    </row>
    <row r="530" spans="3:7">
      <c r="C530" s="93"/>
      <c r="E530" s="96"/>
      <c r="F530" s="178"/>
      <c r="G530" s="93"/>
    </row>
    <row r="531" spans="3:7">
      <c r="C531" s="93"/>
      <c r="E531" s="96"/>
      <c r="F531" s="178"/>
      <c r="G531" s="93"/>
    </row>
    <row r="532" spans="3:7">
      <c r="C532" s="93"/>
      <c r="E532" s="96"/>
      <c r="F532" s="178"/>
      <c r="G532" s="93"/>
    </row>
    <row r="533" spans="3:7">
      <c r="C533" s="93"/>
      <c r="E533" s="96"/>
      <c r="F533" s="178"/>
      <c r="G533" s="93"/>
    </row>
    <row r="534" spans="3:7">
      <c r="C534" s="93"/>
      <c r="E534" s="96"/>
      <c r="F534" s="178"/>
      <c r="G534" s="93"/>
    </row>
    <row r="535" spans="3:7">
      <c r="C535" s="93"/>
      <c r="E535" s="96"/>
      <c r="F535" s="178"/>
      <c r="G535" s="93"/>
    </row>
    <row r="536" spans="3:7">
      <c r="C536" s="93"/>
      <c r="E536" s="96"/>
      <c r="F536" s="178"/>
      <c r="G536" s="93"/>
    </row>
    <row r="537" spans="3:7">
      <c r="C537" s="93"/>
      <c r="E537" s="96"/>
      <c r="F537" s="178"/>
      <c r="G537" s="93"/>
    </row>
    <row r="538" spans="3:7">
      <c r="C538" s="93"/>
      <c r="E538" s="96"/>
      <c r="F538" s="178"/>
      <c r="G538" s="93"/>
    </row>
    <row r="539" spans="3:7">
      <c r="C539" s="93"/>
      <c r="E539" s="96"/>
      <c r="F539" s="178"/>
      <c r="G539" s="93"/>
    </row>
    <row r="540" spans="3:7">
      <c r="C540" s="93"/>
      <c r="E540" s="96"/>
      <c r="F540" s="178"/>
      <c r="G540" s="93"/>
    </row>
    <row r="541" spans="3:7">
      <c r="C541" s="93"/>
      <c r="E541" s="96"/>
      <c r="F541" s="178"/>
      <c r="G541" s="93"/>
    </row>
    <row r="542" spans="3:7">
      <c r="C542" s="93"/>
      <c r="E542" s="96"/>
      <c r="F542" s="178"/>
      <c r="G542" s="93"/>
    </row>
    <row r="543" spans="3:7">
      <c r="C543" s="93"/>
      <c r="E543" s="96"/>
      <c r="F543" s="178"/>
      <c r="G543" s="93"/>
    </row>
    <row r="544" spans="3:7">
      <c r="C544" s="93"/>
      <c r="E544" s="96"/>
      <c r="F544" s="178"/>
      <c r="G544" s="93"/>
    </row>
    <row r="545" spans="3:7">
      <c r="C545" s="93"/>
      <c r="E545" s="96"/>
      <c r="F545" s="178"/>
      <c r="G545" s="93"/>
    </row>
    <row r="546" spans="3:7">
      <c r="C546" s="93"/>
      <c r="E546" s="96"/>
      <c r="F546" s="178"/>
      <c r="G546" s="93"/>
    </row>
    <row r="547" spans="3:7">
      <c r="C547" s="93"/>
      <c r="E547" s="96"/>
      <c r="F547" s="178"/>
      <c r="G547" s="93"/>
    </row>
    <row r="548" spans="3:7">
      <c r="C548" s="93"/>
      <c r="E548" s="96"/>
      <c r="F548" s="178"/>
      <c r="G548" s="93"/>
    </row>
    <row r="549" spans="3:7">
      <c r="C549" s="93"/>
      <c r="E549" s="96"/>
      <c r="F549" s="178"/>
      <c r="G549" s="93"/>
    </row>
    <row r="550" spans="3:7">
      <c r="C550" s="93"/>
      <c r="E550" s="96"/>
      <c r="F550" s="178"/>
      <c r="G550" s="93"/>
    </row>
    <row r="551" spans="3:7">
      <c r="C551" s="93"/>
      <c r="E551" s="96"/>
      <c r="F551" s="178"/>
      <c r="G551" s="93"/>
    </row>
    <row r="552" spans="3:7">
      <c r="C552" s="93"/>
      <c r="E552" s="96"/>
      <c r="F552" s="178"/>
      <c r="G552" s="93"/>
    </row>
    <row r="553" spans="3:7">
      <c r="C553" s="93"/>
      <c r="E553" s="96"/>
      <c r="F553" s="178"/>
      <c r="G553" s="93"/>
    </row>
    <row r="554" spans="3:7">
      <c r="C554" s="93"/>
      <c r="E554" s="96"/>
      <c r="F554" s="178"/>
      <c r="G554" s="93"/>
    </row>
    <row r="555" spans="3:7">
      <c r="C555" s="93"/>
      <c r="E555" s="96"/>
      <c r="F555" s="178"/>
      <c r="G555" s="93"/>
    </row>
    <row r="556" spans="3:7">
      <c r="C556" s="93"/>
      <c r="E556" s="96"/>
      <c r="F556" s="178"/>
      <c r="G556" s="93"/>
    </row>
    <row r="557" spans="3:7">
      <c r="C557" s="93"/>
      <c r="E557" s="96"/>
      <c r="F557" s="178"/>
      <c r="G557" s="93"/>
    </row>
    <row r="558" spans="3:7">
      <c r="C558" s="93"/>
      <c r="E558" s="96"/>
      <c r="F558" s="178"/>
      <c r="G558" s="93"/>
    </row>
    <row r="559" spans="3:7">
      <c r="C559" s="93"/>
      <c r="E559" s="96"/>
      <c r="F559" s="178"/>
      <c r="G559" s="93"/>
    </row>
    <row r="560" spans="3:7">
      <c r="C560" s="93"/>
      <c r="E560" s="96"/>
      <c r="F560" s="178"/>
      <c r="G560" s="93"/>
    </row>
    <row r="561" spans="3:7">
      <c r="C561" s="93"/>
      <c r="E561" s="96"/>
      <c r="F561" s="178"/>
      <c r="G561" s="93"/>
    </row>
    <row r="562" spans="3:7">
      <c r="C562" s="93"/>
      <c r="E562" s="96"/>
      <c r="F562" s="178"/>
      <c r="G562" s="93"/>
    </row>
    <row r="563" spans="3:7">
      <c r="C563" s="93"/>
      <c r="E563" s="96"/>
      <c r="F563" s="178"/>
      <c r="G563" s="93"/>
    </row>
    <row r="564" spans="3:7">
      <c r="C564" s="93"/>
      <c r="E564" s="96"/>
      <c r="F564" s="178"/>
      <c r="G564" s="93"/>
    </row>
    <row r="565" spans="3:7">
      <c r="C565" s="93"/>
      <c r="E565" s="96"/>
      <c r="F565" s="178"/>
      <c r="G565" s="93"/>
    </row>
    <row r="566" spans="3:7">
      <c r="C566" s="93"/>
      <c r="E566" s="96"/>
      <c r="F566" s="178"/>
      <c r="G566" s="93"/>
    </row>
    <row r="567" spans="3:7">
      <c r="C567" s="93"/>
      <c r="E567" s="96"/>
      <c r="F567" s="178"/>
      <c r="G567" s="93"/>
    </row>
    <row r="568" spans="3:7">
      <c r="C568" s="93"/>
      <c r="E568" s="96"/>
      <c r="F568" s="178"/>
      <c r="G568" s="93"/>
    </row>
    <row r="569" spans="3:7">
      <c r="C569" s="93"/>
      <c r="E569" s="96"/>
      <c r="F569" s="178"/>
      <c r="G569" s="93"/>
    </row>
    <row r="570" spans="3:7">
      <c r="C570" s="93"/>
      <c r="E570" s="96"/>
      <c r="F570" s="178"/>
      <c r="G570" s="93"/>
    </row>
    <row r="571" spans="3:7">
      <c r="C571" s="93"/>
      <c r="E571" s="96"/>
      <c r="F571" s="178"/>
      <c r="G571" s="93"/>
    </row>
    <row r="572" spans="3:7">
      <c r="C572" s="93"/>
      <c r="E572" s="96"/>
      <c r="F572" s="178"/>
      <c r="G572" s="93"/>
    </row>
    <row r="573" spans="3:7">
      <c r="C573" s="93"/>
      <c r="E573" s="96"/>
      <c r="F573" s="178"/>
      <c r="G573" s="93"/>
    </row>
    <row r="574" spans="3:7">
      <c r="C574" s="93"/>
      <c r="E574" s="96"/>
      <c r="F574" s="178"/>
      <c r="G574" s="93"/>
    </row>
    <row r="575" spans="3:7">
      <c r="C575" s="93"/>
      <c r="E575" s="96"/>
      <c r="F575" s="178"/>
      <c r="G575" s="93"/>
    </row>
    <row r="576" spans="3:7">
      <c r="C576" s="93"/>
      <c r="E576" s="96"/>
      <c r="F576" s="178"/>
      <c r="G576" s="93"/>
    </row>
    <row r="577" spans="3:7">
      <c r="C577" s="93"/>
      <c r="E577" s="96"/>
      <c r="F577" s="178"/>
      <c r="G577" s="93"/>
    </row>
    <row r="578" spans="3:7">
      <c r="C578" s="93"/>
      <c r="E578" s="96"/>
      <c r="F578" s="178"/>
      <c r="G578" s="93"/>
    </row>
    <row r="579" spans="3:7">
      <c r="C579" s="93"/>
      <c r="E579" s="96"/>
      <c r="F579" s="178"/>
      <c r="G579" s="93"/>
    </row>
    <row r="580" spans="3:7">
      <c r="C580" s="93"/>
      <c r="E580" s="96"/>
      <c r="F580" s="178"/>
      <c r="G580" s="93"/>
    </row>
    <row r="581" spans="3:7">
      <c r="C581" s="93"/>
      <c r="E581" s="96"/>
      <c r="F581" s="178"/>
      <c r="G581" s="93"/>
    </row>
    <row r="582" spans="3:7">
      <c r="C582" s="93"/>
      <c r="E582" s="96"/>
      <c r="F582" s="178"/>
      <c r="G582" s="93"/>
    </row>
    <row r="583" spans="3:7">
      <c r="C583" s="93"/>
      <c r="E583" s="96"/>
      <c r="F583" s="178"/>
      <c r="G583" s="93"/>
    </row>
    <row r="584" spans="3:7">
      <c r="C584" s="93"/>
      <c r="E584" s="96"/>
      <c r="F584" s="178"/>
      <c r="G584" s="93"/>
    </row>
    <row r="585" spans="3:7">
      <c r="C585" s="93"/>
      <c r="E585" s="96"/>
      <c r="F585" s="178"/>
      <c r="G585" s="93"/>
    </row>
    <row r="586" spans="3:7">
      <c r="C586" s="93"/>
      <c r="E586" s="96"/>
      <c r="F586" s="178"/>
      <c r="G586" s="93"/>
    </row>
    <row r="587" spans="3:7">
      <c r="C587" s="93"/>
      <c r="E587" s="96"/>
      <c r="F587" s="178"/>
      <c r="G587" s="93"/>
    </row>
    <row r="588" spans="3:7">
      <c r="C588" s="93"/>
      <c r="E588" s="96"/>
      <c r="F588" s="178"/>
      <c r="G588" s="93"/>
    </row>
    <row r="589" spans="3:7">
      <c r="C589" s="93"/>
      <c r="E589" s="96"/>
      <c r="F589" s="178"/>
      <c r="G589" s="93"/>
    </row>
    <row r="590" spans="3:7">
      <c r="C590" s="93"/>
      <c r="E590" s="96"/>
      <c r="F590" s="178"/>
      <c r="G590" s="93"/>
    </row>
    <row r="591" spans="3:7">
      <c r="C591" s="93"/>
      <c r="E591" s="96"/>
      <c r="F591" s="178"/>
      <c r="G591" s="93"/>
    </row>
    <row r="592" spans="3:7">
      <c r="C592" s="93"/>
      <c r="E592" s="96"/>
      <c r="F592" s="178"/>
      <c r="G592" s="93"/>
    </row>
    <row r="593" spans="3:7">
      <c r="C593" s="93"/>
      <c r="E593" s="96"/>
      <c r="F593" s="178"/>
      <c r="G593" s="93"/>
    </row>
    <row r="594" spans="3:7">
      <c r="C594" s="93"/>
      <c r="E594" s="96"/>
      <c r="F594" s="178"/>
      <c r="G594" s="93"/>
    </row>
    <row r="595" spans="3:7">
      <c r="C595" s="93"/>
      <c r="E595" s="96"/>
      <c r="F595" s="178"/>
      <c r="G595" s="93"/>
    </row>
    <row r="596" spans="3:7">
      <c r="C596" s="93"/>
      <c r="E596" s="96"/>
      <c r="F596" s="178"/>
      <c r="G596" s="93"/>
    </row>
    <row r="597" spans="3:7">
      <c r="C597" s="93"/>
      <c r="E597" s="96"/>
      <c r="F597" s="178"/>
      <c r="G597" s="93"/>
    </row>
    <row r="598" spans="3:7">
      <c r="C598" s="93"/>
      <c r="E598" s="96"/>
      <c r="F598" s="178"/>
      <c r="G598" s="93"/>
    </row>
    <row r="599" spans="3:7">
      <c r="C599" s="93"/>
      <c r="E599" s="96"/>
      <c r="F599" s="178"/>
      <c r="G599" s="93"/>
    </row>
    <row r="600" spans="3:7">
      <c r="C600" s="93"/>
      <c r="E600" s="96"/>
      <c r="F600" s="178"/>
      <c r="G600" s="93"/>
    </row>
    <row r="601" spans="3:7">
      <c r="C601" s="93"/>
      <c r="E601" s="96"/>
      <c r="F601" s="178"/>
      <c r="G601" s="93"/>
    </row>
    <row r="602" spans="3:7">
      <c r="C602" s="93"/>
      <c r="E602" s="96"/>
      <c r="F602" s="178"/>
      <c r="G602" s="93"/>
    </row>
    <row r="603" spans="3:7">
      <c r="C603" s="93"/>
      <c r="E603" s="96"/>
      <c r="F603" s="178"/>
      <c r="G603" s="93"/>
    </row>
    <row r="604" spans="3:7">
      <c r="C604" s="93"/>
      <c r="E604" s="96"/>
      <c r="F604" s="178"/>
      <c r="G604" s="93"/>
    </row>
    <row r="605" spans="3:7">
      <c r="C605" s="93"/>
      <c r="E605" s="96"/>
      <c r="F605" s="178"/>
      <c r="G605" s="93"/>
    </row>
    <row r="606" spans="3:7">
      <c r="C606" s="93"/>
      <c r="E606" s="96"/>
      <c r="F606" s="178"/>
      <c r="G606" s="93"/>
    </row>
    <row r="607" spans="3:7">
      <c r="C607" s="93"/>
      <c r="E607" s="96"/>
      <c r="F607" s="178"/>
      <c r="G607" s="93"/>
    </row>
    <row r="608" spans="3:7">
      <c r="C608" s="93"/>
      <c r="E608" s="96"/>
      <c r="F608" s="178"/>
      <c r="G608" s="93"/>
    </row>
    <row r="609" spans="3:7">
      <c r="C609" s="93"/>
      <c r="E609" s="96"/>
      <c r="F609" s="178"/>
      <c r="G609" s="93"/>
    </row>
    <row r="610" spans="3:7">
      <c r="C610" s="93"/>
      <c r="E610" s="96"/>
      <c r="F610" s="178"/>
      <c r="G610" s="93"/>
    </row>
    <row r="611" spans="3:7">
      <c r="C611" s="93"/>
      <c r="E611" s="96"/>
      <c r="F611" s="178"/>
      <c r="G611" s="93"/>
    </row>
    <row r="612" spans="3:7">
      <c r="C612" s="93"/>
      <c r="E612" s="96"/>
      <c r="F612" s="178"/>
      <c r="G612" s="93"/>
    </row>
    <row r="613" spans="3:7">
      <c r="C613" s="93"/>
      <c r="E613" s="96"/>
      <c r="F613" s="178"/>
      <c r="G613" s="93"/>
    </row>
    <row r="614" spans="3:7">
      <c r="C614" s="93"/>
      <c r="E614" s="96"/>
      <c r="F614" s="178"/>
      <c r="G614" s="93"/>
    </row>
    <row r="615" spans="3:7">
      <c r="C615" s="93"/>
      <c r="E615" s="96"/>
      <c r="F615" s="178"/>
      <c r="G615" s="93"/>
    </row>
    <row r="616" spans="3:7">
      <c r="C616" s="93"/>
      <c r="E616" s="96"/>
      <c r="F616" s="178"/>
      <c r="G616" s="93"/>
    </row>
    <row r="617" spans="3:7">
      <c r="C617" s="93"/>
      <c r="E617" s="96"/>
      <c r="F617" s="178"/>
      <c r="G617" s="93"/>
    </row>
    <row r="618" spans="3:7">
      <c r="C618" s="93"/>
      <c r="E618" s="96"/>
      <c r="F618" s="178"/>
      <c r="G618" s="93"/>
    </row>
    <row r="619" spans="3:7">
      <c r="C619" s="93"/>
      <c r="E619" s="96"/>
      <c r="F619" s="178"/>
      <c r="G619" s="93"/>
    </row>
    <row r="620" spans="3:7">
      <c r="C620" s="93"/>
      <c r="E620" s="96"/>
      <c r="F620" s="178"/>
      <c r="G620" s="93"/>
    </row>
    <row r="621" spans="3:7">
      <c r="C621" s="93"/>
      <c r="E621" s="96"/>
      <c r="F621" s="178"/>
      <c r="G621" s="93"/>
    </row>
    <row r="622" spans="3:7">
      <c r="C622" s="93"/>
      <c r="E622" s="96"/>
      <c r="F622" s="178"/>
      <c r="G622" s="93"/>
    </row>
    <row r="623" spans="3:7">
      <c r="C623" s="93"/>
      <c r="E623" s="96"/>
      <c r="F623" s="178"/>
      <c r="G623" s="93"/>
    </row>
    <row r="624" spans="3:7">
      <c r="C624" s="93"/>
      <c r="E624" s="96"/>
      <c r="F624" s="178"/>
      <c r="G624" s="93"/>
    </row>
    <row r="625" spans="3:7">
      <c r="C625" s="93"/>
      <c r="E625" s="96"/>
      <c r="F625" s="178"/>
      <c r="G625" s="93"/>
    </row>
    <row r="626" spans="3:7">
      <c r="C626" s="93"/>
      <c r="E626" s="96"/>
      <c r="F626" s="178"/>
      <c r="G626" s="93"/>
    </row>
    <row r="627" spans="3:7">
      <c r="C627" s="93"/>
      <c r="E627" s="96"/>
      <c r="F627" s="178"/>
      <c r="G627" s="93"/>
    </row>
    <row r="628" spans="3:7">
      <c r="C628" s="93"/>
      <c r="E628" s="96"/>
      <c r="F628" s="178"/>
      <c r="G628" s="93"/>
    </row>
    <row r="629" spans="3:7">
      <c r="C629" s="93"/>
      <c r="E629" s="96"/>
      <c r="F629" s="178"/>
      <c r="G629" s="93"/>
    </row>
    <row r="630" spans="3:7">
      <c r="C630" s="93"/>
      <c r="E630" s="96"/>
      <c r="F630" s="178"/>
      <c r="G630" s="93"/>
    </row>
    <row r="631" spans="3:7">
      <c r="C631" s="93"/>
      <c r="E631" s="96"/>
      <c r="F631" s="178"/>
      <c r="G631" s="93"/>
    </row>
    <row r="632" spans="3:7">
      <c r="C632" s="93"/>
      <c r="E632" s="96"/>
      <c r="F632" s="178"/>
      <c r="G632" s="93"/>
    </row>
    <row r="633" spans="3:7">
      <c r="C633" s="93"/>
      <c r="E633" s="96"/>
      <c r="F633" s="178"/>
      <c r="G633" s="93"/>
    </row>
    <row r="634" spans="3:7">
      <c r="C634" s="93"/>
      <c r="E634" s="96"/>
      <c r="F634" s="178"/>
      <c r="G634" s="93"/>
    </row>
    <row r="635" spans="3:7">
      <c r="C635" s="93"/>
      <c r="E635" s="96"/>
      <c r="F635" s="178"/>
      <c r="G635" s="93"/>
    </row>
    <row r="636" spans="3:7">
      <c r="C636" s="93"/>
      <c r="E636" s="96"/>
      <c r="F636" s="178"/>
      <c r="G636" s="93"/>
    </row>
    <row r="637" spans="3:7">
      <c r="C637" s="93"/>
      <c r="E637" s="96"/>
      <c r="F637" s="178"/>
      <c r="G637" s="93"/>
    </row>
    <row r="638" spans="3:7">
      <c r="C638" s="93"/>
      <c r="E638" s="96"/>
      <c r="F638" s="178"/>
      <c r="G638" s="93"/>
    </row>
    <row r="639" spans="3:7">
      <c r="C639" s="93"/>
      <c r="E639" s="96"/>
      <c r="F639" s="178"/>
      <c r="G639" s="93"/>
    </row>
    <row r="640" spans="3:7">
      <c r="C640" s="93"/>
      <c r="E640" s="96"/>
      <c r="F640" s="178"/>
      <c r="G640" s="93"/>
    </row>
    <row r="641" spans="3:7">
      <c r="C641" s="93"/>
      <c r="E641" s="96"/>
      <c r="F641" s="178"/>
      <c r="G641" s="93"/>
    </row>
    <row r="642" spans="3:7">
      <c r="C642" s="93"/>
      <c r="E642" s="96"/>
      <c r="F642" s="178"/>
      <c r="G642" s="93"/>
    </row>
    <row r="643" spans="3:7">
      <c r="C643" s="93"/>
      <c r="E643" s="96"/>
      <c r="F643" s="178"/>
      <c r="G643" s="93"/>
    </row>
    <row r="644" spans="3:7">
      <c r="C644" s="93"/>
      <c r="E644" s="96"/>
      <c r="F644" s="178"/>
      <c r="G644" s="93"/>
    </row>
    <row r="645" spans="3:7">
      <c r="C645" s="93"/>
      <c r="E645" s="96"/>
      <c r="F645" s="178"/>
      <c r="G645" s="93"/>
    </row>
    <row r="646" spans="3:7">
      <c r="C646" s="93"/>
      <c r="E646" s="96"/>
      <c r="F646" s="178"/>
      <c r="G646" s="93"/>
    </row>
    <row r="647" spans="3:7">
      <c r="C647" s="93"/>
      <c r="E647" s="96"/>
      <c r="F647" s="178"/>
      <c r="G647" s="93"/>
    </row>
    <row r="648" spans="3:7">
      <c r="C648" s="93"/>
      <c r="E648" s="96"/>
      <c r="F648" s="178"/>
      <c r="G648" s="93"/>
    </row>
    <row r="649" spans="3:7">
      <c r="C649" s="93"/>
      <c r="E649" s="96"/>
      <c r="F649" s="178"/>
      <c r="G649" s="93"/>
    </row>
    <row r="650" spans="3:7">
      <c r="C650" s="93"/>
      <c r="E650" s="96"/>
      <c r="F650" s="178"/>
      <c r="G650" s="93"/>
    </row>
    <row r="651" spans="3:7">
      <c r="C651" s="93"/>
      <c r="E651" s="96"/>
      <c r="F651" s="178"/>
      <c r="G651" s="93"/>
    </row>
    <row r="652" spans="3:7">
      <c r="C652" s="93"/>
      <c r="E652" s="96"/>
      <c r="F652" s="178"/>
      <c r="G652" s="93"/>
    </row>
    <row r="653" spans="3:7">
      <c r="C653" s="93"/>
      <c r="E653" s="96"/>
      <c r="F653" s="178"/>
      <c r="G653" s="93"/>
    </row>
    <row r="654" spans="3:7">
      <c r="C654" s="93"/>
      <c r="E654" s="96"/>
      <c r="F654" s="178"/>
      <c r="G654" s="93"/>
    </row>
    <row r="655" spans="3:7">
      <c r="C655" s="93"/>
      <c r="E655" s="96"/>
      <c r="F655" s="178"/>
      <c r="G655" s="93"/>
    </row>
    <row r="656" spans="3:7">
      <c r="C656" s="93"/>
      <c r="E656" s="96"/>
      <c r="F656" s="178"/>
      <c r="G656" s="93"/>
    </row>
    <row r="657" spans="3:7">
      <c r="C657" s="93"/>
      <c r="E657" s="96"/>
      <c r="F657" s="178"/>
      <c r="G657" s="93"/>
    </row>
    <row r="658" spans="3:7">
      <c r="C658" s="93"/>
      <c r="E658" s="96"/>
      <c r="F658" s="178"/>
      <c r="G658" s="93"/>
    </row>
    <row r="659" spans="3:7">
      <c r="C659" s="93"/>
      <c r="E659" s="96"/>
      <c r="F659" s="178"/>
      <c r="G659" s="93"/>
    </row>
    <row r="660" spans="3:7">
      <c r="C660" s="93"/>
      <c r="E660" s="96"/>
      <c r="F660" s="178"/>
      <c r="G660" s="93"/>
    </row>
    <row r="661" spans="3:7">
      <c r="C661" s="93"/>
      <c r="E661" s="96"/>
      <c r="F661" s="178"/>
      <c r="G661" s="93"/>
    </row>
    <row r="662" spans="3:7">
      <c r="C662" s="93"/>
      <c r="E662" s="96"/>
      <c r="F662" s="178"/>
      <c r="G662" s="93"/>
    </row>
    <row r="663" spans="3:7">
      <c r="C663" s="93"/>
      <c r="E663" s="96"/>
      <c r="F663" s="178"/>
      <c r="G663" s="93"/>
    </row>
    <row r="664" spans="3:7">
      <c r="C664" s="93"/>
      <c r="E664" s="96"/>
      <c r="F664" s="178"/>
      <c r="G664" s="93"/>
    </row>
    <row r="665" spans="3:7">
      <c r="C665" s="93"/>
      <c r="E665" s="96"/>
      <c r="F665" s="178"/>
      <c r="G665" s="93"/>
    </row>
    <row r="666" spans="3:7">
      <c r="C666" s="93"/>
      <c r="E666" s="96"/>
      <c r="F666" s="178"/>
      <c r="G666" s="93"/>
    </row>
    <row r="667" spans="3:7">
      <c r="C667" s="93"/>
      <c r="E667" s="96"/>
      <c r="F667" s="178"/>
      <c r="G667" s="93"/>
    </row>
    <row r="668" spans="3:7">
      <c r="C668" s="93"/>
      <c r="E668" s="96"/>
      <c r="F668" s="178"/>
      <c r="G668" s="93"/>
    </row>
    <row r="669" spans="3:7">
      <c r="C669" s="93"/>
      <c r="E669" s="96"/>
      <c r="F669" s="178"/>
      <c r="G669" s="93"/>
    </row>
    <row r="670" spans="3:7">
      <c r="C670" s="93"/>
      <c r="E670" s="96"/>
      <c r="F670" s="178"/>
      <c r="G670" s="93"/>
    </row>
    <row r="671" spans="3:7">
      <c r="C671" s="93"/>
      <c r="E671" s="96"/>
      <c r="F671" s="178"/>
      <c r="G671" s="93"/>
    </row>
    <row r="672" spans="3:7">
      <c r="C672" s="93"/>
      <c r="E672" s="96"/>
      <c r="F672" s="178"/>
      <c r="G672" s="93"/>
    </row>
    <row r="673" spans="3:7">
      <c r="C673" s="93"/>
      <c r="E673" s="96"/>
      <c r="F673" s="178"/>
      <c r="G673" s="93"/>
    </row>
    <row r="674" spans="3:7">
      <c r="C674" s="93"/>
      <c r="E674" s="96"/>
      <c r="F674" s="178"/>
      <c r="G674" s="93"/>
    </row>
    <row r="675" spans="3:7">
      <c r="C675" s="93"/>
      <c r="E675" s="96"/>
      <c r="F675" s="178"/>
      <c r="G675" s="93"/>
    </row>
    <row r="676" spans="3:7">
      <c r="C676" s="93"/>
      <c r="E676" s="96"/>
      <c r="F676" s="178"/>
      <c r="G676" s="93"/>
    </row>
    <row r="677" spans="3:7">
      <c r="C677" s="93"/>
      <c r="E677" s="96"/>
      <c r="F677" s="178"/>
      <c r="G677" s="93"/>
    </row>
    <row r="678" spans="3:7">
      <c r="C678" s="93"/>
      <c r="E678" s="96"/>
      <c r="F678" s="178"/>
      <c r="G678" s="93"/>
    </row>
    <row r="679" spans="3:7">
      <c r="C679" s="93"/>
      <c r="E679" s="96"/>
      <c r="F679" s="178"/>
      <c r="G679" s="93"/>
    </row>
    <row r="680" spans="3:7">
      <c r="C680" s="93"/>
      <c r="E680" s="96"/>
      <c r="F680" s="178"/>
      <c r="G680" s="93"/>
    </row>
    <row r="681" spans="3:7">
      <c r="C681" s="93"/>
      <c r="E681" s="96"/>
      <c r="F681" s="178"/>
      <c r="G681" s="93"/>
    </row>
    <row r="682" spans="3:7">
      <c r="C682" s="93"/>
      <c r="E682" s="96"/>
      <c r="F682" s="178"/>
      <c r="G682" s="93"/>
    </row>
    <row r="683" spans="3:7">
      <c r="C683" s="93"/>
      <c r="E683" s="96"/>
      <c r="F683" s="178"/>
      <c r="G683" s="93"/>
    </row>
    <row r="684" spans="3:7">
      <c r="C684" s="93"/>
      <c r="E684" s="96"/>
      <c r="F684" s="178"/>
      <c r="G684" s="93"/>
    </row>
    <row r="685" spans="3:7">
      <c r="C685" s="93"/>
      <c r="E685" s="96"/>
      <c r="F685" s="178"/>
      <c r="G685" s="93"/>
    </row>
    <row r="686" spans="3:7">
      <c r="C686" s="93"/>
      <c r="E686" s="96"/>
      <c r="F686" s="178"/>
      <c r="G686" s="93"/>
    </row>
    <row r="687" spans="3:7">
      <c r="C687" s="93"/>
      <c r="E687" s="96"/>
      <c r="F687" s="178"/>
      <c r="G687" s="93"/>
    </row>
    <row r="688" spans="3:7">
      <c r="C688" s="93"/>
      <c r="E688" s="96"/>
      <c r="F688" s="178"/>
      <c r="G688" s="93"/>
    </row>
    <row r="689" spans="3:7">
      <c r="C689" s="93"/>
      <c r="E689" s="96"/>
      <c r="F689" s="178"/>
      <c r="G689" s="93"/>
    </row>
    <row r="690" spans="3:7">
      <c r="C690" s="93"/>
      <c r="E690" s="96"/>
      <c r="F690" s="178"/>
      <c r="G690" s="93"/>
    </row>
    <row r="691" spans="3:7">
      <c r="C691" s="93"/>
      <c r="E691" s="96"/>
      <c r="F691" s="178"/>
      <c r="G691" s="93"/>
    </row>
    <row r="692" spans="3:7">
      <c r="C692" s="93"/>
      <c r="E692" s="96"/>
      <c r="F692" s="178"/>
      <c r="G692" s="93"/>
    </row>
    <row r="693" spans="3:7">
      <c r="C693" s="93"/>
      <c r="E693" s="96"/>
      <c r="F693" s="178"/>
      <c r="G693" s="93"/>
    </row>
    <row r="694" spans="3:7">
      <c r="C694" s="93"/>
      <c r="E694" s="96"/>
      <c r="F694" s="178"/>
      <c r="G694" s="93"/>
    </row>
    <row r="695" spans="3:7">
      <c r="C695" s="93"/>
      <c r="E695" s="96"/>
      <c r="F695" s="178"/>
      <c r="G695" s="93"/>
    </row>
    <row r="696" spans="3:7">
      <c r="C696" s="93"/>
      <c r="E696" s="96"/>
      <c r="F696" s="178"/>
      <c r="G696" s="93"/>
    </row>
    <row r="697" spans="3:7">
      <c r="C697" s="93"/>
      <c r="E697" s="96"/>
      <c r="F697" s="178"/>
      <c r="G697" s="93"/>
    </row>
    <row r="698" spans="3:7">
      <c r="C698" s="93"/>
      <c r="E698" s="96"/>
      <c r="F698" s="178"/>
      <c r="G698" s="93"/>
    </row>
    <row r="699" spans="3:7">
      <c r="C699" s="93"/>
      <c r="E699" s="96"/>
      <c r="F699" s="178"/>
      <c r="G699" s="93"/>
    </row>
    <row r="700" spans="3:7">
      <c r="C700" s="93"/>
      <c r="E700" s="96"/>
      <c r="F700" s="178"/>
      <c r="G700" s="93"/>
    </row>
    <row r="701" spans="3:7">
      <c r="C701" s="93"/>
      <c r="E701" s="96"/>
      <c r="F701" s="178"/>
      <c r="G701" s="93"/>
    </row>
    <row r="702" spans="3:7">
      <c r="C702" s="93"/>
      <c r="E702" s="96"/>
      <c r="F702" s="178"/>
      <c r="G702" s="93"/>
    </row>
    <row r="703" spans="3:7">
      <c r="C703" s="93"/>
      <c r="E703" s="96"/>
      <c r="F703" s="178"/>
      <c r="G703" s="93"/>
    </row>
    <row r="704" spans="3:7">
      <c r="C704" s="93"/>
      <c r="E704" s="96"/>
      <c r="F704" s="178"/>
      <c r="G704" s="93"/>
    </row>
    <row r="705" spans="3:7">
      <c r="C705" s="93"/>
      <c r="E705" s="96"/>
      <c r="F705" s="178"/>
      <c r="G705" s="93"/>
    </row>
    <row r="706" spans="3:7">
      <c r="C706" s="93"/>
      <c r="E706" s="96"/>
      <c r="F706" s="178"/>
      <c r="G706" s="93"/>
    </row>
    <row r="707" spans="3:7">
      <c r="C707" s="93"/>
      <c r="E707" s="96"/>
      <c r="F707" s="178"/>
      <c r="G707" s="93"/>
    </row>
    <row r="708" spans="3:7">
      <c r="C708" s="93"/>
      <c r="E708" s="96"/>
      <c r="F708" s="178"/>
      <c r="G708" s="93"/>
    </row>
    <row r="709" spans="3:7">
      <c r="C709" s="93"/>
      <c r="E709" s="96"/>
      <c r="F709" s="178"/>
      <c r="G709" s="93"/>
    </row>
    <row r="710" spans="3:7">
      <c r="C710" s="93"/>
      <c r="E710" s="96"/>
      <c r="F710" s="178"/>
      <c r="G710" s="93"/>
    </row>
    <row r="711" spans="3:7">
      <c r="C711" s="93"/>
      <c r="E711" s="96"/>
      <c r="F711" s="178"/>
      <c r="G711" s="93"/>
    </row>
    <row r="712" spans="3:7">
      <c r="C712" s="93"/>
      <c r="E712" s="96"/>
      <c r="F712" s="178"/>
      <c r="G712" s="93"/>
    </row>
    <row r="713" spans="3:7">
      <c r="C713" s="93"/>
      <c r="E713" s="96"/>
      <c r="F713" s="178"/>
      <c r="G713" s="93"/>
    </row>
    <row r="714" spans="3:7">
      <c r="C714" s="93"/>
      <c r="E714" s="96"/>
      <c r="F714" s="178"/>
      <c r="G714" s="93"/>
    </row>
    <row r="715" spans="3:7">
      <c r="C715" s="93"/>
      <c r="E715" s="96"/>
      <c r="F715" s="178"/>
      <c r="G715" s="93"/>
    </row>
    <row r="716" spans="3:7">
      <c r="C716" s="93"/>
      <c r="E716" s="96"/>
      <c r="F716" s="178"/>
      <c r="G716" s="93"/>
    </row>
    <row r="717" spans="3:7">
      <c r="C717" s="93"/>
      <c r="E717" s="96"/>
      <c r="F717" s="178"/>
      <c r="G717" s="93"/>
    </row>
    <row r="718" spans="3:7">
      <c r="C718" s="93"/>
      <c r="E718" s="96"/>
      <c r="F718" s="178"/>
      <c r="G718" s="93"/>
    </row>
    <row r="719" spans="3:7">
      <c r="C719" s="93"/>
      <c r="E719" s="96"/>
      <c r="F719" s="178"/>
      <c r="G719" s="93"/>
    </row>
    <row r="720" spans="3:7">
      <c r="C720" s="93"/>
      <c r="E720" s="96"/>
      <c r="F720" s="178"/>
      <c r="G720" s="93"/>
    </row>
    <row r="721" spans="3:7">
      <c r="C721" s="93"/>
      <c r="E721" s="96"/>
      <c r="F721" s="178"/>
      <c r="G721" s="93"/>
    </row>
    <row r="722" spans="3:7">
      <c r="C722" s="93"/>
      <c r="E722" s="96"/>
      <c r="F722" s="178"/>
      <c r="G722" s="93"/>
    </row>
    <row r="723" spans="3:7">
      <c r="C723" s="93"/>
      <c r="E723" s="96"/>
      <c r="F723" s="178"/>
      <c r="G723" s="93"/>
    </row>
    <row r="724" spans="3:7">
      <c r="C724" s="93"/>
      <c r="E724" s="96"/>
      <c r="F724" s="178"/>
      <c r="G724" s="93"/>
    </row>
    <row r="725" spans="3:7">
      <c r="C725" s="93"/>
      <c r="E725" s="96"/>
      <c r="F725" s="178"/>
      <c r="G725" s="93"/>
    </row>
    <row r="726" spans="3:7">
      <c r="C726" s="93"/>
      <c r="E726" s="96"/>
      <c r="F726" s="178"/>
      <c r="G726" s="93"/>
    </row>
    <row r="727" spans="3:7">
      <c r="C727" s="93"/>
      <c r="E727" s="96"/>
      <c r="F727" s="178"/>
      <c r="G727" s="93"/>
    </row>
    <row r="728" spans="3:7">
      <c r="C728" s="93"/>
      <c r="E728" s="96"/>
      <c r="F728" s="178"/>
      <c r="G728" s="93"/>
    </row>
    <row r="729" spans="3:7">
      <c r="C729" s="93"/>
      <c r="E729" s="96"/>
      <c r="F729" s="178"/>
      <c r="G729" s="93"/>
    </row>
    <row r="730" spans="3:7">
      <c r="C730" s="93"/>
      <c r="E730" s="96"/>
      <c r="F730" s="178"/>
      <c r="G730" s="93"/>
    </row>
    <row r="731" spans="3:7">
      <c r="C731" s="93"/>
      <c r="E731" s="96"/>
      <c r="F731" s="178"/>
      <c r="G731" s="93"/>
    </row>
    <row r="732" spans="3:7">
      <c r="C732" s="93"/>
      <c r="E732" s="96"/>
      <c r="F732" s="178"/>
      <c r="G732" s="93"/>
    </row>
    <row r="733" spans="3:7">
      <c r="C733" s="93"/>
      <c r="E733" s="96"/>
      <c r="F733" s="178"/>
      <c r="G733" s="93"/>
    </row>
    <row r="734" spans="3:7">
      <c r="C734" s="93"/>
      <c r="E734" s="96"/>
      <c r="F734" s="178"/>
      <c r="G734" s="93"/>
    </row>
    <row r="735" spans="3:7">
      <c r="C735" s="93"/>
      <c r="E735" s="96"/>
      <c r="F735" s="178"/>
      <c r="G735" s="93"/>
    </row>
    <row r="736" spans="3:7">
      <c r="C736" s="93"/>
      <c r="E736" s="96"/>
      <c r="F736" s="178"/>
      <c r="G736" s="93"/>
    </row>
    <row r="737" spans="3:7">
      <c r="C737" s="93"/>
      <c r="E737" s="96"/>
      <c r="F737" s="178"/>
      <c r="G737" s="93"/>
    </row>
    <row r="738" spans="3:7">
      <c r="C738" s="93"/>
      <c r="E738" s="96"/>
      <c r="F738" s="178"/>
      <c r="G738" s="93"/>
    </row>
    <row r="739" spans="3:7">
      <c r="C739" s="93"/>
      <c r="E739" s="96"/>
      <c r="F739" s="178"/>
      <c r="G739" s="93"/>
    </row>
    <row r="740" spans="3:7">
      <c r="C740" s="93"/>
      <c r="E740" s="96"/>
      <c r="F740" s="178"/>
      <c r="G740" s="93"/>
    </row>
    <row r="741" spans="3:7">
      <c r="C741" s="93"/>
      <c r="E741" s="96"/>
      <c r="F741" s="178"/>
      <c r="G741" s="93"/>
    </row>
    <row r="742" spans="3:7">
      <c r="C742" s="93"/>
      <c r="E742" s="96"/>
      <c r="F742" s="178"/>
      <c r="G742" s="93"/>
    </row>
    <row r="743" spans="3:7">
      <c r="C743" s="93"/>
      <c r="E743" s="96"/>
      <c r="F743" s="178"/>
      <c r="G743" s="93"/>
    </row>
    <row r="744" spans="3:7">
      <c r="C744" s="93"/>
      <c r="E744" s="96"/>
      <c r="F744" s="178"/>
      <c r="G744" s="93"/>
    </row>
    <row r="745" spans="3:7">
      <c r="C745" s="93"/>
      <c r="E745" s="96"/>
      <c r="F745" s="178"/>
      <c r="G745" s="93"/>
    </row>
    <row r="746" spans="3:7">
      <c r="C746" s="93"/>
      <c r="E746" s="96"/>
      <c r="F746" s="178"/>
      <c r="G746" s="93"/>
    </row>
    <row r="747" spans="3:7">
      <c r="C747" s="93"/>
      <c r="E747" s="96"/>
      <c r="F747" s="178"/>
      <c r="G747" s="93"/>
    </row>
    <row r="748" spans="3:7">
      <c r="C748" s="93"/>
      <c r="E748" s="96"/>
      <c r="F748" s="178"/>
      <c r="G748" s="93"/>
    </row>
    <row r="749" spans="3:7">
      <c r="C749" s="93"/>
      <c r="E749" s="96"/>
      <c r="F749" s="178"/>
      <c r="G749" s="93"/>
    </row>
    <row r="750" spans="3:7">
      <c r="C750" s="93"/>
      <c r="E750" s="96"/>
      <c r="F750" s="178"/>
      <c r="G750" s="93"/>
    </row>
    <row r="751" spans="3:7">
      <c r="C751" s="93"/>
      <c r="E751" s="96"/>
      <c r="F751" s="178"/>
      <c r="G751" s="93"/>
    </row>
    <row r="752" spans="3:7">
      <c r="C752" s="93"/>
      <c r="E752" s="96"/>
      <c r="F752" s="178"/>
      <c r="G752" s="93"/>
    </row>
    <row r="753" spans="3:7">
      <c r="C753" s="93"/>
      <c r="E753" s="96"/>
      <c r="F753" s="178"/>
      <c r="G753" s="93"/>
    </row>
    <row r="754" spans="3:7">
      <c r="C754" s="93"/>
      <c r="E754" s="96"/>
      <c r="F754" s="178"/>
      <c r="G754" s="93"/>
    </row>
    <row r="755" spans="3:7">
      <c r="C755" s="93"/>
      <c r="E755" s="96"/>
      <c r="F755" s="178"/>
      <c r="G755" s="93"/>
    </row>
    <row r="756" spans="3:7">
      <c r="C756" s="93"/>
      <c r="E756" s="96"/>
      <c r="F756" s="178"/>
      <c r="G756" s="93"/>
    </row>
    <row r="757" spans="3:7">
      <c r="C757" s="93"/>
      <c r="E757" s="96"/>
      <c r="F757" s="178"/>
      <c r="G757" s="93"/>
    </row>
    <row r="758" spans="3:7">
      <c r="C758" s="93"/>
      <c r="E758" s="96"/>
      <c r="F758" s="178"/>
      <c r="G758" s="93"/>
    </row>
    <row r="759" spans="3:7">
      <c r="C759" s="93"/>
      <c r="E759" s="96"/>
      <c r="F759" s="178"/>
      <c r="G759" s="93"/>
    </row>
    <row r="760" spans="3:7">
      <c r="C760" s="93"/>
      <c r="E760" s="96"/>
      <c r="F760" s="178"/>
      <c r="G760" s="93"/>
    </row>
    <row r="761" spans="3:7">
      <c r="C761" s="93"/>
      <c r="E761" s="96"/>
      <c r="F761" s="178"/>
      <c r="G761" s="93"/>
    </row>
    <row r="762" spans="3:7">
      <c r="C762" s="93"/>
      <c r="E762" s="96"/>
      <c r="F762" s="178"/>
      <c r="G762" s="93"/>
    </row>
    <row r="763" spans="3:7">
      <c r="C763" s="93"/>
      <c r="E763" s="96"/>
      <c r="F763" s="178"/>
      <c r="G763" s="93"/>
    </row>
    <row r="764" spans="3:7">
      <c r="C764" s="93"/>
      <c r="E764" s="96"/>
      <c r="F764" s="178"/>
      <c r="G764" s="93"/>
    </row>
    <row r="765" spans="3:7">
      <c r="C765" s="93"/>
      <c r="E765" s="96"/>
      <c r="F765" s="178"/>
      <c r="G765" s="93"/>
    </row>
    <row r="766" spans="3:7">
      <c r="C766" s="93"/>
      <c r="E766" s="96"/>
      <c r="F766" s="178"/>
      <c r="G766" s="93"/>
    </row>
    <row r="767" spans="3:7">
      <c r="C767" s="93"/>
      <c r="E767" s="96"/>
      <c r="F767" s="178"/>
      <c r="G767" s="93"/>
    </row>
    <row r="768" spans="3:7">
      <c r="C768" s="93"/>
      <c r="E768" s="96"/>
      <c r="F768" s="178"/>
      <c r="G768" s="93"/>
    </row>
    <row r="769" spans="3:7">
      <c r="C769" s="93"/>
      <c r="E769" s="96"/>
      <c r="F769" s="178"/>
      <c r="G769" s="93"/>
    </row>
    <row r="770" spans="3:7">
      <c r="C770" s="93"/>
      <c r="E770" s="96"/>
      <c r="F770" s="178"/>
      <c r="G770" s="93"/>
    </row>
    <row r="771" spans="3:7">
      <c r="C771" s="93"/>
      <c r="E771" s="96"/>
      <c r="F771" s="178"/>
      <c r="G771" s="93"/>
    </row>
    <row r="772" spans="3:7">
      <c r="C772" s="93"/>
      <c r="E772" s="96"/>
      <c r="F772" s="178"/>
      <c r="G772" s="93"/>
    </row>
    <row r="773" spans="3:7">
      <c r="C773" s="93"/>
      <c r="E773" s="96"/>
      <c r="F773" s="178"/>
      <c r="G773" s="93"/>
    </row>
    <row r="774" spans="3:7">
      <c r="C774" s="93"/>
      <c r="E774" s="96"/>
      <c r="F774" s="178"/>
      <c r="G774" s="93"/>
    </row>
    <row r="775" spans="3:7">
      <c r="C775" s="93"/>
      <c r="E775" s="96"/>
      <c r="F775" s="178"/>
      <c r="G775" s="93"/>
    </row>
    <row r="776" spans="3:7">
      <c r="C776" s="93"/>
      <c r="E776" s="96"/>
      <c r="F776" s="178"/>
      <c r="G776" s="93"/>
    </row>
    <row r="777" spans="3:7">
      <c r="C777" s="93"/>
      <c r="E777" s="96"/>
      <c r="F777" s="178"/>
      <c r="G777" s="93"/>
    </row>
    <row r="778" spans="3:7">
      <c r="C778" s="93"/>
      <c r="E778" s="96"/>
      <c r="F778" s="178"/>
      <c r="G778" s="93"/>
    </row>
    <row r="779" spans="3:7">
      <c r="C779" s="93"/>
      <c r="E779" s="96"/>
      <c r="F779" s="178"/>
      <c r="G779" s="93"/>
    </row>
    <row r="780" spans="3:7">
      <c r="C780" s="93"/>
      <c r="E780" s="96"/>
      <c r="F780" s="178"/>
      <c r="G780" s="93"/>
    </row>
    <row r="781" spans="3:7">
      <c r="C781" s="93"/>
      <c r="E781" s="96"/>
      <c r="F781" s="178"/>
      <c r="G781" s="93"/>
    </row>
    <row r="782" spans="3:7">
      <c r="C782" s="93"/>
      <c r="E782" s="96"/>
      <c r="F782" s="178"/>
      <c r="G782" s="93"/>
    </row>
    <row r="783" spans="3:7">
      <c r="C783" s="93"/>
      <c r="E783" s="96"/>
      <c r="F783" s="178"/>
      <c r="G783" s="93"/>
    </row>
    <row r="784" spans="3:7">
      <c r="C784" s="93"/>
      <c r="E784" s="96"/>
      <c r="F784" s="178"/>
      <c r="G784" s="93"/>
    </row>
    <row r="785" spans="3:7">
      <c r="C785" s="93"/>
      <c r="E785" s="96"/>
      <c r="F785" s="178"/>
      <c r="G785" s="93"/>
    </row>
    <row r="786" spans="3:7">
      <c r="C786" s="93"/>
      <c r="E786" s="96"/>
      <c r="F786" s="178"/>
      <c r="G786" s="93"/>
    </row>
    <row r="787" spans="3:7">
      <c r="C787" s="93"/>
      <c r="E787" s="96"/>
      <c r="F787" s="178"/>
      <c r="G787" s="93"/>
    </row>
    <row r="788" spans="3:7">
      <c r="C788" s="93"/>
      <c r="E788" s="96"/>
      <c r="F788" s="178"/>
      <c r="G788" s="93"/>
    </row>
    <row r="789" spans="3:7">
      <c r="C789" s="93"/>
      <c r="E789" s="96"/>
      <c r="F789" s="178"/>
      <c r="G789" s="93"/>
    </row>
    <row r="790" spans="3:7">
      <c r="C790" s="93"/>
      <c r="E790" s="96"/>
      <c r="F790" s="178"/>
      <c r="G790" s="93"/>
    </row>
    <row r="791" spans="3:7">
      <c r="C791" s="93"/>
      <c r="E791" s="96"/>
      <c r="F791" s="178"/>
      <c r="G791" s="93"/>
    </row>
    <row r="792" spans="3:7">
      <c r="C792" s="93"/>
      <c r="E792" s="96"/>
      <c r="F792" s="178"/>
      <c r="G792" s="93"/>
    </row>
    <row r="793" spans="3:7">
      <c r="C793" s="93"/>
      <c r="E793" s="96"/>
      <c r="F793" s="178"/>
      <c r="G793" s="93"/>
    </row>
    <row r="794" spans="3:7">
      <c r="C794" s="93"/>
      <c r="E794" s="96"/>
      <c r="F794" s="178"/>
      <c r="G794" s="93"/>
    </row>
    <row r="795" spans="3:7">
      <c r="C795" s="93"/>
      <c r="E795" s="96"/>
      <c r="F795" s="178"/>
      <c r="G795" s="93"/>
    </row>
    <row r="796" spans="3:7">
      <c r="C796" s="93"/>
      <c r="E796" s="96"/>
      <c r="F796" s="178"/>
      <c r="G796" s="93"/>
    </row>
    <row r="797" spans="3:7">
      <c r="C797" s="93"/>
      <c r="E797" s="96"/>
      <c r="F797" s="178"/>
      <c r="G797" s="93"/>
    </row>
    <row r="798" spans="3:7">
      <c r="C798" s="93"/>
      <c r="E798" s="96"/>
      <c r="F798" s="178"/>
      <c r="G798" s="93"/>
    </row>
    <row r="799" spans="3:7">
      <c r="C799" s="93"/>
      <c r="E799" s="96"/>
      <c r="F799" s="178"/>
      <c r="G799" s="93"/>
    </row>
    <row r="800" spans="3:7">
      <c r="C800" s="93"/>
      <c r="E800" s="96"/>
      <c r="F800" s="178"/>
      <c r="G800" s="93"/>
    </row>
    <row r="801" spans="3:7">
      <c r="C801" s="93"/>
      <c r="E801" s="96"/>
      <c r="F801" s="178"/>
      <c r="G801" s="93"/>
    </row>
    <row r="802" spans="3:7">
      <c r="C802" s="93"/>
      <c r="E802" s="96"/>
      <c r="F802" s="178"/>
      <c r="G802" s="93"/>
    </row>
    <row r="803" spans="3:7">
      <c r="C803" s="93"/>
      <c r="E803" s="96"/>
      <c r="F803" s="178"/>
      <c r="G803" s="93"/>
    </row>
    <row r="804" spans="3:7">
      <c r="C804" s="93"/>
      <c r="E804" s="96"/>
      <c r="F804" s="178"/>
      <c r="G804" s="93"/>
    </row>
    <row r="805" spans="3:7">
      <c r="C805" s="93"/>
      <c r="E805" s="96"/>
      <c r="F805" s="178"/>
      <c r="G805" s="93"/>
    </row>
    <row r="806" spans="3:7">
      <c r="C806" s="93"/>
      <c r="E806" s="96"/>
      <c r="F806" s="178"/>
      <c r="G806" s="93"/>
    </row>
    <row r="807" spans="3:7">
      <c r="C807" s="93"/>
      <c r="E807" s="96"/>
      <c r="F807" s="178"/>
      <c r="G807" s="93"/>
    </row>
    <row r="808" spans="3:7">
      <c r="C808" s="93"/>
      <c r="E808" s="96"/>
      <c r="F808" s="178"/>
      <c r="G808" s="93"/>
    </row>
    <row r="809" spans="3:7">
      <c r="C809" s="93"/>
      <c r="E809" s="96"/>
      <c r="F809" s="178"/>
      <c r="G809" s="93"/>
    </row>
    <row r="810" spans="3:7">
      <c r="C810" s="93"/>
      <c r="E810" s="96"/>
      <c r="F810" s="178"/>
      <c r="G810" s="93"/>
    </row>
    <row r="811" spans="3:7">
      <c r="C811" s="93"/>
      <c r="E811" s="96"/>
      <c r="F811" s="178"/>
      <c r="G811" s="93"/>
    </row>
    <row r="812" spans="3:7">
      <c r="C812" s="93"/>
      <c r="E812" s="96"/>
      <c r="F812" s="178"/>
      <c r="G812" s="93"/>
    </row>
    <row r="813" spans="3:7">
      <c r="C813" s="93"/>
      <c r="E813" s="96"/>
      <c r="F813" s="178"/>
      <c r="G813" s="93"/>
    </row>
    <row r="814" spans="3:7">
      <c r="C814" s="93"/>
      <c r="E814" s="96"/>
      <c r="F814" s="178"/>
      <c r="G814" s="93"/>
    </row>
    <row r="815" spans="3:7">
      <c r="C815" s="93"/>
      <c r="E815" s="96"/>
      <c r="F815" s="178"/>
      <c r="G815" s="93"/>
    </row>
    <row r="816" spans="3:7">
      <c r="C816" s="93"/>
      <c r="E816" s="96"/>
      <c r="F816" s="178"/>
      <c r="G816" s="93"/>
    </row>
    <row r="817" spans="3:7">
      <c r="C817" s="93"/>
      <c r="E817" s="96"/>
      <c r="F817" s="178"/>
      <c r="G817" s="93"/>
    </row>
    <row r="818" spans="3:7">
      <c r="C818" s="93"/>
      <c r="E818" s="96"/>
      <c r="F818" s="178"/>
      <c r="G818" s="93"/>
    </row>
    <row r="819" spans="3:7">
      <c r="C819" s="93"/>
      <c r="E819" s="96"/>
      <c r="F819" s="178"/>
      <c r="G819" s="93"/>
    </row>
    <row r="820" spans="3:7">
      <c r="C820" s="93"/>
      <c r="E820" s="96"/>
      <c r="F820" s="178"/>
      <c r="G820" s="93"/>
    </row>
    <row r="821" spans="3:7">
      <c r="C821" s="93"/>
      <c r="E821" s="96"/>
      <c r="F821" s="178"/>
      <c r="G821" s="93"/>
    </row>
    <row r="822" spans="3:7">
      <c r="C822" s="93"/>
      <c r="E822" s="96"/>
      <c r="F822" s="178"/>
      <c r="G822" s="93"/>
    </row>
    <row r="823" spans="3:7">
      <c r="C823" s="93"/>
      <c r="E823" s="96"/>
      <c r="F823" s="178"/>
      <c r="G823" s="93"/>
    </row>
    <row r="824" spans="3:7">
      <c r="C824" s="93"/>
      <c r="E824" s="96"/>
      <c r="F824" s="178"/>
      <c r="G824" s="93"/>
    </row>
    <row r="825" spans="3:7">
      <c r="C825" s="93"/>
      <c r="E825" s="96"/>
      <c r="F825" s="178"/>
      <c r="G825" s="93"/>
    </row>
    <row r="826" spans="3:7">
      <c r="C826" s="93"/>
      <c r="E826" s="96"/>
      <c r="F826" s="178"/>
      <c r="G826" s="93"/>
    </row>
    <row r="827" spans="3:7">
      <c r="C827" s="93"/>
      <c r="E827" s="96"/>
      <c r="F827" s="178"/>
      <c r="G827" s="93"/>
    </row>
    <row r="828" spans="3:7">
      <c r="C828" s="93"/>
      <c r="E828" s="96"/>
      <c r="F828" s="178"/>
      <c r="G828" s="93"/>
    </row>
    <row r="829" spans="3:7">
      <c r="C829" s="93"/>
      <c r="E829" s="96"/>
      <c r="F829" s="178"/>
      <c r="G829" s="93"/>
    </row>
    <row r="830" spans="3:7">
      <c r="C830" s="93"/>
      <c r="E830" s="96"/>
      <c r="F830" s="178"/>
      <c r="G830" s="93"/>
    </row>
    <row r="831" spans="3:7">
      <c r="C831" s="93"/>
      <c r="E831" s="96"/>
      <c r="F831" s="178"/>
      <c r="G831" s="93"/>
    </row>
    <row r="832" spans="3:7">
      <c r="C832" s="93"/>
      <c r="E832" s="96"/>
      <c r="F832" s="178"/>
      <c r="G832" s="93"/>
    </row>
    <row r="833" spans="3:7">
      <c r="C833" s="93"/>
      <c r="E833" s="96"/>
      <c r="F833" s="178"/>
      <c r="G833" s="93"/>
    </row>
    <row r="834" spans="3:7">
      <c r="C834" s="93"/>
      <c r="E834" s="96"/>
      <c r="F834" s="178"/>
      <c r="G834" s="93"/>
    </row>
    <row r="835" spans="3:7">
      <c r="C835" s="93"/>
      <c r="E835" s="96"/>
      <c r="F835" s="178"/>
      <c r="G835" s="93"/>
    </row>
    <row r="836" spans="3:7">
      <c r="C836" s="93"/>
      <c r="E836" s="96"/>
      <c r="F836" s="178"/>
      <c r="G836" s="93"/>
    </row>
    <row r="837" spans="3:7">
      <c r="C837" s="93"/>
      <c r="E837" s="96"/>
      <c r="F837" s="178"/>
      <c r="G837" s="93"/>
    </row>
    <row r="838" spans="3:7">
      <c r="C838" s="93"/>
      <c r="E838" s="96"/>
      <c r="F838" s="178"/>
      <c r="G838" s="93"/>
    </row>
    <row r="839" spans="3:7">
      <c r="C839" s="93"/>
      <c r="E839" s="96"/>
      <c r="F839" s="178"/>
      <c r="G839" s="93"/>
    </row>
    <row r="840" spans="3:7">
      <c r="C840" s="93"/>
      <c r="E840" s="96"/>
      <c r="F840" s="178"/>
      <c r="G840" s="93"/>
    </row>
    <row r="841" spans="3:7">
      <c r="C841" s="93"/>
      <c r="E841" s="96"/>
      <c r="F841" s="178"/>
      <c r="G841" s="93"/>
    </row>
    <row r="842" spans="3:7">
      <c r="C842" s="93"/>
      <c r="E842" s="96"/>
      <c r="F842" s="178"/>
      <c r="G842" s="93"/>
    </row>
    <row r="843" spans="3:7">
      <c r="C843" s="93"/>
      <c r="E843" s="96"/>
      <c r="F843" s="178"/>
      <c r="G843" s="93"/>
    </row>
    <row r="844" spans="3:7">
      <c r="C844" s="93"/>
      <c r="E844" s="96"/>
      <c r="F844" s="178"/>
      <c r="G844" s="93"/>
    </row>
    <row r="845" spans="3:7">
      <c r="C845" s="93"/>
      <c r="E845" s="96"/>
      <c r="F845" s="178"/>
      <c r="G845" s="93"/>
    </row>
    <row r="846" spans="3:7">
      <c r="C846" s="93"/>
      <c r="E846" s="96"/>
      <c r="F846" s="178"/>
      <c r="G846" s="93"/>
    </row>
    <row r="847" spans="3:7">
      <c r="C847" s="93"/>
      <c r="E847" s="96"/>
      <c r="F847" s="178"/>
      <c r="G847" s="93"/>
    </row>
    <row r="848" spans="3:7">
      <c r="C848" s="93"/>
      <c r="E848" s="96"/>
      <c r="F848" s="178"/>
      <c r="G848" s="93"/>
    </row>
    <row r="849" spans="3:7">
      <c r="C849" s="93"/>
      <c r="E849" s="96"/>
      <c r="F849" s="178"/>
      <c r="G849" s="93"/>
    </row>
    <row r="850" spans="3:7">
      <c r="C850" s="93"/>
      <c r="E850" s="96"/>
      <c r="F850" s="178"/>
      <c r="G850" s="93"/>
    </row>
    <row r="851" spans="3:7">
      <c r="C851" s="93"/>
      <c r="E851" s="96"/>
      <c r="F851" s="178"/>
      <c r="G851" s="93"/>
    </row>
    <row r="852" spans="3:7">
      <c r="C852" s="93"/>
      <c r="E852" s="96"/>
      <c r="F852" s="178"/>
      <c r="G852" s="93"/>
    </row>
    <row r="853" spans="3:7">
      <c r="C853" s="93"/>
      <c r="E853" s="96"/>
      <c r="F853" s="178"/>
      <c r="G853" s="93"/>
    </row>
    <row r="854" spans="3:7">
      <c r="C854" s="93"/>
      <c r="E854" s="96"/>
      <c r="F854" s="178"/>
      <c r="G854" s="93"/>
    </row>
    <row r="855" spans="3:7">
      <c r="C855" s="93"/>
      <c r="E855" s="96"/>
      <c r="F855" s="178"/>
      <c r="G855" s="93"/>
    </row>
    <row r="856" spans="3:7">
      <c r="C856" s="93"/>
      <c r="E856" s="96"/>
      <c r="F856" s="178"/>
      <c r="G856" s="93"/>
    </row>
    <row r="857" spans="3:7">
      <c r="C857" s="93"/>
      <c r="E857" s="96"/>
      <c r="F857" s="178"/>
      <c r="G857" s="93"/>
    </row>
    <row r="858" spans="3:7">
      <c r="C858" s="93"/>
      <c r="E858" s="96"/>
      <c r="F858" s="178"/>
      <c r="G858" s="93"/>
    </row>
    <row r="859" spans="3:7">
      <c r="C859" s="93"/>
      <c r="E859" s="96"/>
      <c r="F859" s="178"/>
      <c r="G859" s="93"/>
    </row>
    <row r="860" spans="3:7">
      <c r="C860" s="93"/>
      <c r="E860" s="96"/>
      <c r="F860" s="178"/>
      <c r="G860" s="93"/>
    </row>
    <row r="861" spans="3:7">
      <c r="C861" s="93"/>
      <c r="E861" s="96"/>
      <c r="F861" s="178"/>
      <c r="G861" s="93"/>
    </row>
    <row r="862" spans="3:7">
      <c r="C862" s="93"/>
      <c r="E862" s="96"/>
      <c r="F862" s="178"/>
      <c r="G862" s="93"/>
    </row>
    <row r="863" spans="3:7">
      <c r="C863" s="93"/>
      <c r="E863" s="96"/>
      <c r="F863" s="178"/>
      <c r="G863" s="93"/>
    </row>
    <row r="864" spans="3:7">
      <c r="C864" s="93"/>
      <c r="E864" s="96"/>
      <c r="F864" s="178"/>
      <c r="G864" s="93"/>
    </row>
    <row r="865" spans="3:7">
      <c r="C865" s="93"/>
      <c r="E865" s="96"/>
      <c r="F865" s="178"/>
      <c r="G865" s="93"/>
    </row>
    <row r="866" spans="3:7">
      <c r="C866" s="93"/>
      <c r="E866" s="96"/>
      <c r="F866" s="178"/>
      <c r="G866" s="93"/>
    </row>
    <row r="867" spans="3:7">
      <c r="C867" s="93"/>
      <c r="E867" s="96"/>
      <c r="F867" s="178"/>
      <c r="G867" s="93"/>
    </row>
    <row r="868" spans="3:7">
      <c r="C868" s="93"/>
      <c r="E868" s="96"/>
      <c r="F868" s="178"/>
      <c r="G868" s="93"/>
    </row>
    <row r="869" spans="3:7">
      <c r="C869" s="93"/>
      <c r="E869" s="96"/>
      <c r="F869" s="178"/>
      <c r="G869" s="93"/>
    </row>
    <row r="870" spans="3:7">
      <c r="C870" s="93"/>
      <c r="E870" s="96"/>
      <c r="F870" s="178"/>
      <c r="G870" s="93"/>
    </row>
    <row r="871" spans="3:7">
      <c r="C871" s="93"/>
      <c r="E871" s="96"/>
      <c r="F871" s="178"/>
      <c r="G871" s="93"/>
    </row>
    <row r="872" spans="3:7">
      <c r="C872" s="93"/>
      <c r="E872" s="96"/>
      <c r="F872" s="178"/>
      <c r="G872" s="93"/>
    </row>
    <row r="873" spans="3:7">
      <c r="C873" s="93"/>
      <c r="E873" s="96"/>
      <c r="F873" s="178"/>
      <c r="G873" s="93"/>
    </row>
    <row r="874" spans="3:7">
      <c r="C874" s="93"/>
      <c r="E874" s="96"/>
      <c r="F874" s="178"/>
      <c r="G874" s="93"/>
    </row>
    <row r="875" spans="3:7">
      <c r="C875" s="93"/>
      <c r="E875" s="96"/>
      <c r="F875" s="178"/>
      <c r="G875" s="93"/>
    </row>
    <row r="876" spans="3:7">
      <c r="C876" s="93"/>
      <c r="E876" s="96"/>
      <c r="F876" s="178"/>
      <c r="G876" s="93"/>
    </row>
    <row r="877" spans="3:7">
      <c r="C877" s="93"/>
      <c r="E877" s="96"/>
      <c r="F877" s="178"/>
      <c r="G877" s="93"/>
    </row>
    <row r="878" spans="3:7">
      <c r="C878" s="93"/>
      <c r="E878" s="96"/>
      <c r="F878" s="178"/>
      <c r="G878" s="93"/>
    </row>
    <row r="879" spans="3:7">
      <c r="C879" s="93"/>
      <c r="E879" s="96"/>
      <c r="F879" s="178"/>
      <c r="G879" s="93"/>
    </row>
    <row r="880" spans="3:7">
      <c r="C880" s="93"/>
      <c r="E880" s="96"/>
      <c r="F880" s="178"/>
      <c r="G880" s="93"/>
    </row>
    <row r="881" spans="3:7">
      <c r="C881" s="93"/>
      <c r="E881" s="96"/>
      <c r="F881" s="178"/>
      <c r="G881" s="93"/>
    </row>
    <row r="882" spans="3:7">
      <c r="C882" s="93"/>
      <c r="E882" s="96"/>
      <c r="F882" s="178"/>
      <c r="G882" s="93"/>
    </row>
    <row r="883" spans="3:7">
      <c r="C883" s="93"/>
      <c r="E883" s="96"/>
      <c r="F883" s="178"/>
      <c r="G883" s="93"/>
    </row>
    <row r="884" spans="3:7">
      <c r="C884" s="93"/>
      <c r="E884" s="96"/>
      <c r="F884" s="178"/>
      <c r="G884" s="93"/>
    </row>
    <row r="885" spans="3:7">
      <c r="C885" s="93"/>
      <c r="E885" s="96"/>
      <c r="F885" s="178"/>
      <c r="G885" s="93"/>
    </row>
    <row r="886" spans="3:7">
      <c r="C886" s="93"/>
      <c r="E886" s="96"/>
      <c r="F886" s="178"/>
      <c r="G886" s="93"/>
    </row>
    <row r="887" spans="3:7">
      <c r="C887" s="93"/>
      <c r="E887" s="96"/>
      <c r="F887" s="178"/>
      <c r="G887" s="93"/>
    </row>
    <row r="888" spans="3:7">
      <c r="C888" s="93"/>
      <c r="E888" s="96"/>
      <c r="F888" s="178"/>
      <c r="G888" s="93"/>
    </row>
    <row r="889" spans="3:7">
      <c r="C889" s="93"/>
      <c r="E889" s="96"/>
      <c r="F889" s="178"/>
      <c r="G889" s="93"/>
    </row>
    <row r="890" spans="3:7">
      <c r="C890" s="93"/>
      <c r="E890" s="96"/>
      <c r="F890" s="178"/>
      <c r="G890" s="93"/>
    </row>
    <row r="891" spans="3:7">
      <c r="C891" s="93"/>
      <c r="E891" s="96"/>
      <c r="F891" s="178"/>
      <c r="G891" s="93"/>
    </row>
    <row r="892" spans="3:7">
      <c r="C892" s="93"/>
      <c r="E892" s="96"/>
      <c r="F892" s="178"/>
      <c r="G892" s="93"/>
    </row>
    <row r="893" spans="3:7">
      <c r="C893" s="93"/>
      <c r="E893" s="96"/>
      <c r="F893" s="178"/>
      <c r="G893" s="93"/>
    </row>
    <row r="894" spans="3:7">
      <c r="C894" s="93"/>
      <c r="E894" s="96"/>
      <c r="F894" s="178"/>
      <c r="G894" s="93"/>
    </row>
    <row r="895" spans="3:7">
      <c r="C895" s="93"/>
      <c r="E895" s="96"/>
      <c r="F895" s="178"/>
      <c r="G895" s="93"/>
    </row>
    <row r="896" spans="3:7">
      <c r="C896" s="93"/>
      <c r="E896" s="96"/>
      <c r="F896" s="178"/>
      <c r="G896" s="93"/>
    </row>
    <row r="897" spans="3:7">
      <c r="C897" s="93"/>
      <c r="E897" s="96"/>
      <c r="F897" s="178"/>
      <c r="G897" s="93"/>
    </row>
    <row r="898" spans="3:7">
      <c r="C898" s="93"/>
      <c r="E898" s="96"/>
      <c r="F898" s="178"/>
      <c r="G898" s="93"/>
    </row>
    <row r="899" spans="3:7">
      <c r="C899" s="93"/>
      <c r="E899" s="96"/>
      <c r="F899" s="178"/>
      <c r="G899" s="93"/>
    </row>
    <row r="900" spans="3:7">
      <c r="C900" s="93"/>
      <c r="E900" s="96"/>
      <c r="F900" s="178"/>
      <c r="G900" s="93"/>
    </row>
    <row r="901" spans="3:7">
      <c r="C901" s="93"/>
      <c r="E901" s="96"/>
      <c r="F901" s="178"/>
      <c r="G901" s="93"/>
    </row>
    <row r="902" spans="3:7">
      <c r="C902" s="93"/>
      <c r="E902" s="96"/>
      <c r="F902" s="178"/>
      <c r="G902" s="93"/>
    </row>
    <row r="903" spans="3:7">
      <c r="C903" s="93"/>
      <c r="E903" s="96"/>
      <c r="F903" s="178"/>
      <c r="G903" s="93"/>
    </row>
    <row r="904" spans="3:7">
      <c r="C904" s="93"/>
      <c r="E904" s="96"/>
      <c r="F904" s="178"/>
      <c r="G904" s="93"/>
    </row>
    <row r="905" spans="3:7">
      <c r="C905" s="93"/>
      <c r="E905" s="96"/>
      <c r="F905" s="178"/>
      <c r="G905" s="93"/>
    </row>
    <row r="906" spans="3:7">
      <c r="C906" s="93"/>
      <c r="E906" s="96"/>
      <c r="F906" s="178"/>
      <c r="G906" s="93"/>
    </row>
    <row r="907" spans="3:7">
      <c r="C907" s="93"/>
      <c r="E907" s="96"/>
      <c r="F907" s="178"/>
      <c r="G907" s="93"/>
    </row>
    <row r="908" spans="3:7">
      <c r="C908" s="93"/>
      <c r="E908" s="96"/>
      <c r="F908" s="178"/>
      <c r="G908" s="93"/>
    </row>
    <row r="909" spans="3:7">
      <c r="C909" s="93"/>
      <c r="E909" s="96"/>
      <c r="F909" s="178"/>
      <c r="G909" s="93"/>
    </row>
    <row r="910" spans="3:7">
      <c r="C910" s="93"/>
      <c r="E910" s="96"/>
      <c r="F910" s="178"/>
      <c r="G910" s="93"/>
    </row>
    <row r="911" spans="3:7">
      <c r="C911" s="93"/>
      <c r="E911" s="96"/>
      <c r="F911" s="178"/>
      <c r="G911" s="93"/>
    </row>
    <row r="912" spans="3:7">
      <c r="C912" s="93"/>
      <c r="E912" s="96"/>
      <c r="F912" s="178"/>
      <c r="G912" s="93"/>
    </row>
    <row r="913" spans="3:7">
      <c r="C913" s="93"/>
      <c r="E913" s="96"/>
      <c r="F913" s="178"/>
      <c r="G913" s="93"/>
    </row>
    <row r="914" spans="3:7">
      <c r="C914" s="93"/>
      <c r="E914" s="96"/>
      <c r="F914" s="178"/>
      <c r="G914" s="93"/>
    </row>
    <row r="915" spans="3:7">
      <c r="C915" s="93"/>
      <c r="E915" s="96"/>
      <c r="F915" s="178"/>
      <c r="G915" s="93"/>
    </row>
    <row r="916" spans="3:7">
      <c r="C916" s="93"/>
      <c r="E916" s="96"/>
      <c r="F916" s="178"/>
      <c r="G916" s="93"/>
    </row>
    <row r="917" spans="3:7">
      <c r="C917" s="93"/>
      <c r="E917" s="96"/>
      <c r="F917" s="178"/>
      <c r="G917" s="93"/>
    </row>
    <row r="918" spans="3:7">
      <c r="C918" s="93"/>
      <c r="E918" s="96"/>
      <c r="F918" s="178"/>
      <c r="G918" s="93"/>
    </row>
    <row r="919" spans="3:7">
      <c r="C919" s="93"/>
      <c r="E919" s="96"/>
      <c r="F919" s="178"/>
      <c r="G919" s="93"/>
    </row>
    <row r="920" spans="3:7">
      <c r="C920" s="93"/>
      <c r="E920" s="96"/>
      <c r="F920" s="178"/>
      <c r="G920" s="93"/>
    </row>
    <row r="921" spans="3:7">
      <c r="C921" s="93"/>
      <c r="E921" s="96"/>
      <c r="F921" s="178"/>
      <c r="G921" s="93"/>
    </row>
    <row r="922" spans="3:7">
      <c r="C922" s="93"/>
      <c r="E922" s="96"/>
      <c r="F922" s="178"/>
      <c r="G922" s="93"/>
    </row>
    <row r="923" spans="3:7">
      <c r="C923" s="93"/>
      <c r="E923" s="96"/>
      <c r="F923" s="178"/>
      <c r="G923" s="93"/>
    </row>
    <row r="924" spans="3:7">
      <c r="C924" s="93"/>
      <c r="E924" s="96"/>
      <c r="F924" s="178"/>
      <c r="G924" s="93"/>
    </row>
    <row r="925" spans="3:7">
      <c r="C925" s="93"/>
      <c r="E925" s="96"/>
      <c r="F925" s="178"/>
      <c r="G925" s="93"/>
    </row>
    <row r="926" spans="3:7">
      <c r="C926" s="93"/>
      <c r="E926" s="96"/>
      <c r="F926" s="178"/>
      <c r="G926" s="93"/>
    </row>
    <row r="927" spans="3:7">
      <c r="C927" s="93"/>
      <c r="E927" s="96"/>
      <c r="F927" s="178"/>
      <c r="G927" s="93"/>
    </row>
    <row r="928" spans="3:7">
      <c r="C928" s="93"/>
      <c r="E928" s="96"/>
      <c r="F928" s="178"/>
      <c r="G928" s="93"/>
    </row>
    <row r="929" spans="3:7">
      <c r="C929" s="93"/>
      <c r="E929" s="96"/>
      <c r="F929" s="178"/>
      <c r="G929" s="93"/>
    </row>
    <row r="930" spans="3:7">
      <c r="C930" s="93"/>
      <c r="E930" s="96"/>
      <c r="F930" s="178"/>
      <c r="G930" s="93"/>
    </row>
    <row r="931" spans="3:7">
      <c r="C931" s="93"/>
      <c r="E931" s="96"/>
      <c r="F931" s="178"/>
      <c r="G931" s="93"/>
    </row>
    <row r="932" spans="3:7">
      <c r="C932" s="93"/>
      <c r="E932" s="96"/>
      <c r="F932" s="178"/>
      <c r="G932" s="93"/>
    </row>
    <row r="933" spans="3:7">
      <c r="C933" s="93"/>
      <c r="E933" s="96"/>
      <c r="F933" s="178"/>
      <c r="G933" s="93"/>
    </row>
    <row r="934" spans="3:7">
      <c r="C934" s="93"/>
      <c r="E934" s="96"/>
      <c r="F934" s="178"/>
      <c r="G934" s="93"/>
    </row>
    <row r="935" spans="3:7">
      <c r="C935" s="93"/>
      <c r="E935" s="96"/>
      <c r="F935" s="178"/>
      <c r="G935" s="93"/>
    </row>
    <row r="936" spans="3:7">
      <c r="C936" s="93"/>
      <c r="E936" s="96"/>
      <c r="F936" s="178"/>
      <c r="G936" s="93"/>
    </row>
    <row r="937" spans="3:7">
      <c r="C937" s="93"/>
      <c r="E937" s="96"/>
      <c r="F937" s="178"/>
      <c r="G937" s="93"/>
    </row>
    <row r="938" spans="3:7">
      <c r="C938" s="93"/>
      <c r="E938" s="96"/>
      <c r="F938" s="178"/>
      <c r="G938" s="93"/>
    </row>
    <row r="939" spans="3:7">
      <c r="C939" s="93"/>
      <c r="E939" s="96"/>
      <c r="F939" s="178"/>
      <c r="G939" s="93"/>
    </row>
    <row r="940" spans="3:7">
      <c r="C940" s="93"/>
      <c r="E940" s="96"/>
      <c r="F940" s="178"/>
      <c r="G940" s="93"/>
    </row>
    <row r="941" spans="3:7">
      <c r="C941" s="93"/>
      <c r="E941" s="96"/>
      <c r="F941" s="178"/>
      <c r="G941" s="93"/>
    </row>
    <row r="942" spans="3:7">
      <c r="C942" s="93"/>
      <c r="E942" s="96"/>
      <c r="F942" s="178"/>
      <c r="G942" s="93"/>
    </row>
    <row r="943" spans="3:7">
      <c r="C943" s="93"/>
      <c r="E943" s="96"/>
      <c r="F943" s="178"/>
      <c r="G943" s="93"/>
    </row>
    <row r="944" spans="3:7">
      <c r="C944" s="93"/>
      <c r="E944" s="96"/>
      <c r="F944" s="178"/>
      <c r="G944" s="93"/>
    </row>
    <row r="945" spans="3:7">
      <c r="C945" s="93"/>
      <c r="E945" s="96"/>
      <c r="F945" s="178"/>
      <c r="G945" s="93"/>
    </row>
    <row r="946" spans="3:7">
      <c r="C946" s="93"/>
      <c r="E946" s="96"/>
      <c r="F946" s="178"/>
      <c r="G946" s="93"/>
    </row>
    <row r="947" spans="3:7">
      <c r="C947" s="93"/>
      <c r="E947" s="96"/>
      <c r="F947" s="178"/>
      <c r="G947" s="93"/>
    </row>
    <row r="948" spans="3:7">
      <c r="C948" s="93"/>
      <c r="E948" s="96"/>
      <c r="F948" s="178"/>
      <c r="G948" s="93"/>
    </row>
    <row r="949" spans="3:7">
      <c r="C949" s="93"/>
      <c r="E949" s="96"/>
      <c r="F949" s="178"/>
      <c r="G949" s="93"/>
    </row>
    <row r="950" spans="3:7">
      <c r="C950" s="93"/>
      <c r="E950" s="96"/>
      <c r="F950" s="178"/>
      <c r="G950" s="93"/>
    </row>
    <row r="951" spans="3:7">
      <c r="C951" s="93"/>
      <c r="E951" s="96"/>
      <c r="F951" s="178"/>
      <c r="G951" s="93"/>
    </row>
    <row r="952" spans="3:7">
      <c r="C952" s="93"/>
      <c r="E952" s="96"/>
      <c r="F952" s="178"/>
      <c r="G952" s="93"/>
    </row>
    <row r="953" spans="3:7">
      <c r="C953" s="93"/>
      <c r="E953" s="96"/>
      <c r="F953" s="178"/>
      <c r="G953" s="93"/>
    </row>
    <row r="954" spans="3:7">
      <c r="C954" s="93"/>
      <c r="E954" s="96"/>
      <c r="F954" s="178"/>
      <c r="G954" s="93"/>
    </row>
  </sheetData>
  <mergeCells count="15">
    <mergeCell ref="A26:B26"/>
    <mergeCell ref="D26:F26"/>
    <mergeCell ref="A27:B27"/>
    <mergeCell ref="D27:F27"/>
    <mergeCell ref="B1:F1"/>
    <mergeCell ref="B2:F2"/>
    <mergeCell ref="A25:B25"/>
    <mergeCell ref="D25:F25"/>
    <mergeCell ref="A18:B18"/>
    <mergeCell ref="A22:B22"/>
    <mergeCell ref="A23:B23"/>
    <mergeCell ref="A24:B24"/>
    <mergeCell ref="D22:F22"/>
    <mergeCell ref="D23:F23"/>
    <mergeCell ref="D24:F24"/>
  </mergeCells>
  <pageMargins left="0.56000000000000005" right="0.39" top="0.49" bottom="0.4" header="0.42" footer="0.5"/>
  <pageSetup scale="99" orientation="portrait" r:id="rId1"/>
  <headerFooter alignWithMargins="0"/>
  <rowBreaks count="1" manualBreakCount="1">
    <brk id="8"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8"/>
  <sheetViews>
    <sheetView view="pageBreakPreview" topLeftCell="A16" zoomScale="115" zoomScaleNormal="100" zoomScaleSheetLayoutView="115" workbookViewId="0">
      <selection activeCell="B35" sqref="B35"/>
    </sheetView>
  </sheetViews>
  <sheetFormatPr defaultColWidth="10" defaultRowHeight="15.75"/>
  <cols>
    <col min="1" max="1" width="12.140625" style="183" customWidth="1"/>
    <col min="2" max="2" width="11.7109375" style="183" customWidth="1"/>
    <col min="3" max="3" width="20.85546875" style="183" customWidth="1"/>
    <col min="4" max="4" width="14.7109375" style="183" customWidth="1"/>
    <col min="5" max="5" width="11.42578125" style="183" customWidth="1"/>
    <col min="6" max="6" width="12.140625" style="183" customWidth="1"/>
    <col min="7" max="7" width="13.140625" style="183" bestFit="1" customWidth="1"/>
    <col min="8" max="8" width="10.140625" style="183" customWidth="1"/>
    <col min="9" max="9" width="4.140625" style="183" customWidth="1"/>
    <col min="10" max="10" width="7" style="183" customWidth="1"/>
    <col min="11" max="11" width="13.140625" style="183" bestFit="1" customWidth="1"/>
    <col min="12" max="27" width="7" style="183" customWidth="1"/>
    <col min="28" max="16384" width="10" style="183"/>
  </cols>
  <sheetData>
    <row r="1" spans="1:12" ht="15" customHeight="1">
      <c r="A1" s="315" t="str">
        <f>cover!A24</f>
        <v>Carrying out survey and investigation for KT weir on {{River}} River of  near {{Village}} village Tal. {{Taluka}} Dist. {{District}}</v>
      </c>
      <c r="B1" s="315"/>
      <c r="C1" s="315"/>
      <c r="D1" s="315"/>
      <c r="E1" s="315"/>
      <c r="F1" s="315"/>
      <c r="G1" s="315"/>
      <c r="H1" s="315"/>
      <c r="I1" s="315"/>
    </row>
    <row r="2" spans="1:12" ht="16.5" customHeight="1">
      <c r="A2" s="315"/>
      <c r="B2" s="315"/>
      <c r="C2" s="315"/>
      <c r="D2" s="315"/>
      <c r="E2" s="315"/>
      <c r="F2" s="315"/>
      <c r="G2" s="315"/>
      <c r="H2" s="315"/>
      <c r="I2" s="315"/>
    </row>
    <row r="3" spans="1:12">
      <c r="A3" s="316" t="s">
        <v>67</v>
      </c>
      <c r="B3" s="316"/>
      <c r="C3" s="316"/>
      <c r="D3" s="316"/>
      <c r="E3" s="316"/>
      <c r="F3" s="316"/>
      <c r="G3" s="316"/>
      <c r="H3" s="316"/>
      <c r="I3" s="316"/>
    </row>
    <row r="4" spans="1:12">
      <c r="A4" s="180"/>
      <c r="B4" s="180"/>
      <c r="C4" s="180"/>
      <c r="D4" s="180"/>
      <c r="E4" s="180"/>
      <c r="F4" s="180"/>
      <c r="G4" s="180"/>
      <c r="H4" s="180"/>
      <c r="I4" s="180"/>
    </row>
    <row r="5" spans="1:12" ht="33.75" customHeight="1">
      <c r="A5" s="184" t="str">
        <f>'R.A1'!A4</f>
        <v>Item No.1 :-</v>
      </c>
      <c r="B5" s="317" t="str">
        <f>abst!C4</f>
        <v>Cleaning grass and removal of rubbish upto a distance of 50 meters outside the periphery of the area as directed.</v>
      </c>
      <c r="C5" s="318"/>
      <c r="D5" s="318"/>
      <c r="E5" s="318"/>
      <c r="F5" s="318"/>
      <c r="G5" s="318"/>
      <c r="H5" s="318"/>
      <c r="I5" s="318"/>
    </row>
    <row r="6" spans="1:12">
      <c r="A6" s="180"/>
      <c r="B6" s="185"/>
      <c r="C6" s="186"/>
      <c r="D6" s="186"/>
      <c r="E6" s="186"/>
      <c r="F6" s="186"/>
      <c r="G6" s="186"/>
      <c r="H6" s="186"/>
      <c r="I6" s="186"/>
    </row>
    <row r="7" spans="1:12" s="45" customFormat="1">
      <c r="B7" s="48" t="s">
        <v>82</v>
      </c>
      <c r="C7" s="48"/>
      <c r="D7" s="49" t="s">
        <v>68</v>
      </c>
      <c r="E7" s="49" t="s">
        <v>69</v>
      </c>
      <c r="F7" s="49" t="s">
        <v>70</v>
      </c>
      <c r="G7" s="50" t="s">
        <v>106</v>
      </c>
    </row>
    <row r="8" spans="1:12" s="45" customFormat="1">
      <c r="A8" s="51"/>
      <c r="B8" s="47" t="s">
        <v>137</v>
      </c>
      <c r="C8" s="52"/>
      <c r="D8" s="256" t="s">
        <v>226</v>
      </c>
      <c r="E8" s="47">
        <v>10</v>
      </c>
      <c r="F8" s="47">
        <v>2</v>
      </c>
      <c r="G8" s="47" t="e">
        <f>D8*E8*F8</f>
        <v>#VALUE!</v>
      </c>
      <c r="H8" s="47" t="s">
        <v>72</v>
      </c>
      <c r="K8" s="254">
        <f>2109*10000</f>
        <v>21090000</v>
      </c>
      <c r="L8" s="56"/>
    </row>
    <row r="9" spans="1:12" s="45" customFormat="1">
      <c r="A9" s="51"/>
      <c r="B9" s="47"/>
      <c r="C9" s="52"/>
      <c r="D9" s="53"/>
      <c r="E9" s="54"/>
      <c r="F9" s="54"/>
      <c r="G9" s="55"/>
      <c r="H9" s="47"/>
      <c r="L9" s="56"/>
    </row>
    <row r="10" spans="1:12" s="45" customFormat="1">
      <c r="A10" s="51"/>
      <c r="B10" s="47"/>
      <c r="C10" s="52"/>
      <c r="D10" s="53"/>
      <c r="E10" s="54"/>
      <c r="F10" s="54"/>
      <c r="G10" s="77" t="e">
        <f>SUM(G8:G9)</f>
        <v>#VALUE!</v>
      </c>
      <c r="H10" s="47" t="str">
        <f>H8</f>
        <v>sqm</v>
      </c>
      <c r="L10" s="56"/>
    </row>
    <row r="11" spans="1:12" s="45" customFormat="1">
      <c r="A11" s="44"/>
      <c r="B11" s="56"/>
      <c r="C11" s="46"/>
      <c r="D11" s="56"/>
      <c r="E11" s="56"/>
      <c r="F11" s="56"/>
      <c r="G11" s="57"/>
    </row>
    <row r="12" spans="1:12" s="48" customFormat="1" ht="18" customHeight="1">
      <c r="B12" s="256" t="s">
        <v>227</v>
      </c>
      <c r="C12" s="256"/>
      <c r="D12" s="45"/>
      <c r="E12" s="320" t="e">
        <f>VALUE(G10)&amp;" * "&amp;VALUE(K12)&amp;" ="</f>
        <v>#VALUE!</v>
      </c>
      <c r="F12" s="320"/>
      <c r="G12" s="58" t="e">
        <f>G10*K12</f>
        <v>#VALUE!</v>
      </c>
      <c r="H12" s="45" t="s">
        <v>72</v>
      </c>
      <c r="K12" s="255" t="s">
        <v>228</v>
      </c>
    </row>
    <row r="13" spans="1:12">
      <c r="A13" s="180"/>
      <c r="B13" s="180"/>
      <c r="C13" s="180"/>
      <c r="D13" s="180"/>
      <c r="E13" s="180"/>
      <c r="F13" s="180"/>
      <c r="G13" s="180"/>
      <c r="H13" s="180"/>
      <c r="I13" s="180"/>
    </row>
    <row r="14" spans="1:12" ht="62.25" customHeight="1">
      <c r="A14" s="180" t="str">
        <f>'R.A1'!A22</f>
        <v>Item No.2 :-</v>
      </c>
      <c r="B14" s="319" t="str">
        <f>abst!C5</f>
        <v>Double levelling using Auto level to connect Geodetic Trignometrical survey, benchmark and establishing permanent benchmark at Dam site at place along the canal alignment, submergence and in command area etc. complete, as directed.(Excluding cost of B.M. structure)</v>
      </c>
      <c r="C14" s="319"/>
      <c r="D14" s="319"/>
      <c r="E14" s="319"/>
      <c r="F14" s="319"/>
      <c r="G14" s="319"/>
      <c r="H14" s="319"/>
      <c r="I14" s="319"/>
    </row>
    <row r="15" spans="1:12">
      <c r="A15" s="187"/>
      <c r="B15" s="188"/>
      <c r="D15" s="189"/>
      <c r="E15" s="190"/>
      <c r="F15" s="180"/>
      <c r="G15" s="180"/>
      <c r="H15" s="180"/>
      <c r="I15" s="180"/>
    </row>
    <row r="16" spans="1:12" s="45" customFormat="1">
      <c r="B16" s="48" t="s">
        <v>82</v>
      </c>
      <c r="C16" s="48"/>
      <c r="D16" s="49" t="s">
        <v>68</v>
      </c>
      <c r="E16" s="49"/>
      <c r="F16" s="49" t="s">
        <v>70</v>
      </c>
      <c r="G16" s="50" t="s">
        <v>74</v>
      </c>
    </row>
    <row r="17" spans="1:13" s="45" customFormat="1">
      <c r="A17" s="51"/>
      <c r="B17" s="47" t="s">
        <v>129</v>
      </c>
      <c r="C17" s="52"/>
      <c r="D17" s="257" t="s">
        <v>243</v>
      </c>
      <c r="E17" s="47"/>
      <c r="F17" s="47"/>
      <c r="G17" s="47" t="str">
        <f>D17</f>
        <v>{{BM_L}}</v>
      </c>
      <c r="H17" s="47" t="s">
        <v>14</v>
      </c>
      <c r="L17" s="56"/>
    </row>
    <row r="18" spans="1:13" s="45" customFormat="1">
      <c r="A18" s="51"/>
      <c r="B18" s="47"/>
      <c r="C18" s="52"/>
      <c r="D18" s="53"/>
      <c r="E18" s="54"/>
      <c r="F18" s="54"/>
      <c r="G18" s="55"/>
      <c r="H18" s="47"/>
      <c r="L18" s="56"/>
    </row>
    <row r="19" spans="1:13" s="45" customFormat="1">
      <c r="A19" s="44"/>
      <c r="B19" s="56"/>
      <c r="C19" s="46"/>
      <c r="D19" s="56"/>
      <c r="E19" s="56"/>
      <c r="F19" s="59" t="s">
        <v>83</v>
      </c>
      <c r="G19" s="60">
        <f>SUM(G17:G18)</f>
        <v>0</v>
      </c>
      <c r="H19" s="45" t="s">
        <v>14</v>
      </c>
      <c r="L19" s="56">
        <v>40000</v>
      </c>
      <c r="M19" s="45">
        <f>1.5*L19</f>
        <v>60000</v>
      </c>
    </row>
    <row r="20" spans="1:13" s="45" customFormat="1">
      <c r="A20" s="44"/>
      <c r="B20" s="56"/>
      <c r="C20" s="46"/>
      <c r="D20" s="56"/>
      <c r="E20" s="56"/>
      <c r="F20" s="61" t="s">
        <v>18</v>
      </c>
      <c r="G20" s="62">
        <f>G19/1000</f>
        <v>0</v>
      </c>
      <c r="H20" s="63" t="s">
        <v>58</v>
      </c>
      <c r="L20" s="56"/>
    </row>
    <row r="21" spans="1:13">
      <c r="A21" s="187"/>
      <c r="B21" s="187"/>
      <c r="D21" s="189"/>
      <c r="E21" s="190"/>
      <c r="F21" s="180"/>
      <c r="G21" s="180"/>
      <c r="H21" s="180"/>
      <c r="I21" s="180"/>
    </row>
    <row r="22" spans="1:13" ht="117.75" customHeight="1">
      <c r="A22" s="180" t="str">
        <f>'R.A1'!A38</f>
        <v>Item No.3 :-</v>
      </c>
      <c r="B22" s="319" t="str">
        <f>abst!C6</f>
        <v>Block contour survey of 10m x 10m grid (Not less than 121 raw data points distributed uniformly over a Hectare) for irrigation projects using digital state of art Total Station / DGPS, including transfer of entire data to computer system in different georeferential layer / themes using features of standard plotting Softwares compatible with canal irrigation system design Software packages including contour plotting at specified interval and scale. The test print of the drawing shall be approved by Engineer-in-charge and the same shall be delivered in a CD format as well as hard copy in six numbers.</v>
      </c>
      <c r="C22" s="319"/>
      <c r="D22" s="319"/>
      <c r="E22" s="319"/>
      <c r="F22" s="319"/>
      <c r="G22" s="319"/>
      <c r="H22" s="319"/>
      <c r="I22" s="319"/>
    </row>
    <row r="23" spans="1:13">
      <c r="A23" s="187"/>
      <c r="B23" s="48" t="s">
        <v>82</v>
      </c>
      <c r="C23" s="48"/>
      <c r="D23" s="49" t="s">
        <v>68</v>
      </c>
      <c r="E23" s="49" t="s">
        <v>69</v>
      </c>
      <c r="F23" s="49"/>
      <c r="G23" s="50" t="s">
        <v>106</v>
      </c>
      <c r="H23" s="45"/>
      <c r="I23" s="180"/>
    </row>
    <row r="24" spans="1:13" s="45" customFormat="1">
      <c r="B24" s="47" t="s">
        <v>138</v>
      </c>
      <c r="C24" s="52"/>
      <c r="D24" s="47" t="str">
        <f>D8</f>
        <v>{{L}}</v>
      </c>
      <c r="E24" s="256" t="s">
        <v>229</v>
      </c>
      <c r="F24" s="74" t="s">
        <v>139</v>
      </c>
      <c r="G24" s="47" t="e">
        <f>D24*E24/10000</f>
        <v>#VALUE!</v>
      </c>
      <c r="H24" s="47" t="s">
        <v>52</v>
      </c>
    </row>
    <row r="25" spans="1:13" s="45" customFormat="1">
      <c r="B25" s="47" t="s">
        <v>245</v>
      </c>
      <c r="C25" s="52"/>
      <c r="D25" s="47"/>
      <c r="E25" s="47"/>
      <c r="F25" s="74"/>
      <c r="G25" s="47"/>
      <c r="H25" s="47"/>
    </row>
    <row r="26" spans="1:13" s="45" customFormat="1" ht="18" customHeight="1">
      <c r="B26" s="47" t="s">
        <v>147</v>
      </c>
      <c r="C26" s="52"/>
      <c r="D26" s="258" t="s">
        <v>246</v>
      </c>
      <c r="E26" s="54" t="s">
        <v>109</v>
      </c>
      <c r="F26" s="75" t="e">
        <f>G24</f>
        <v>#VALUE!</v>
      </c>
      <c r="G26" s="76" t="e">
        <f>D26*F26</f>
        <v>#VALUE!</v>
      </c>
      <c r="H26" s="76" t="s">
        <v>52</v>
      </c>
    </row>
    <row r="27" spans="1:13" s="45" customFormat="1">
      <c r="B27" s="47"/>
      <c r="C27" s="52"/>
      <c r="D27" s="47"/>
      <c r="E27" s="47"/>
      <c r="F27" s="74"/>
      <c r="G27" s="47"/>
      <c r="H27" s="47"/>
    </row>
    <row r="28" spans="1:13" s="45" customFormat="1">
      <c r="A28" s="44"/>
      <c r="B28" s="64" t="s">
        <v>146</v>
      </c>
      <c r="C28" s="46"/>
      <c r="D28" s="56"/>
      <c r="E28" s="56"/>
      <c r="F28" s="59"/>
      <c r="G28" s="65" t="e">
        <f>G24*0.25</f>
        <v>#VALUE!</v>
      </c>
      <c r="H28" s="45" t="str">
        <f>H24</f>
        <v>Ha</v>
      </c>
      <c r="L28" s="56"/>
    </row>
    <row r="29" spans="1:13" s="45" customFormat="1">
      <c r="C29" s="57"/>
      <c r="D29" s="56"/>
      <c r="E29" s="57"/>
      <c r="F29" s="45" t="s">
        <v>148</v>
      </c>
      <c r="G29" s="62" t="e">
        <f>G26+G28</f>
        <v>#VALUE!</v>
      </c>
      <c r="H29" s="63" t="str">
        <f>H28</f>
        <v>Ha</v>
      </c>
    </row>
    <row r="30" spans="1:13">
      <c r="A30" s="187"/>
      <c r="B30" s="187"/>
      <c r="D30" s="189"/>
      <c r="E30" s="190"/>
      <c r="F30" s="180"/>
      <c r="G30" s="180"/>
      <c r="H30" s="180"/>
      <c r="I30" s="180"/>
    </row>
    <row r="31" spans="1:13" ht="95.1" customHeight="1">
      <c r="A31" s="180" t="str">
        <f>'R.A1'!A52</f>
        <v>Item No.4 :-</v>
      </c>
      <c r="B31" s="319" t="str">
        <f>'R.A1'!B52</f>
        <v>Block contour survey of 10m x 10m grid, using Differential Global Position System (DGPS) instrument including labour, transportation, using sounding by boat in river water in wet condition and transfer of entire data to computer system in different georeferential layers/ themes using features of standard plotting software computable with design software package including contour plotting at required interval and at a scale and following deliverables etc. all complete as directed.</v>
      </c>
      <c r="C31" s="319"/>
      <c r="D31" s="319"/>
      <c r="E31" s="319"/>
      <c r="F31" s="319"/>
      <c r="G31" s="319"/>
      <c r="H31" s="319"/>
      <c r="I31" s="319"/>
    </row>
    <row r="32" spans="1:13">
      <c r="A32" s="187"/>
      <c r="B32" s="48" t="s">
        <v>82</v>
      </c>
      <c r="C32" s="48"/>
      <c r="D32" s="49" t="s">
        <v>68</v>
      </c>
      <c r="E32" s="49" t="s">
        <v>69</v>
      </c>
      <c r="F32" s="49"/>
      <c r="G32" s="50" t="s">
        <v>106</v>
      </c>
      <c r="H32" s="45"/>
      <c r="I32" s="180"/>
    </row>
    <row r="33" spans="1:14" s="45" customFormat="1">
      <c r="B33" s="47" t="s">
        <v>138</v>
      </c>
      <c r="C33" s="52"/>
      <c r="D33" s="47" t="str">
        <f>D8</f>
        <v>{{L}}</v>
      </c>
      <c r="E33" s="47" t="str">
        <f>E24</f>
        <v>{{B}}</v>
      </c>
      <c r="F33" s="74" t="s">
        <v>139</v>
      </c>
      <c r="G33" s="47" t="e">
        <f>D33*E33/10000</f>
        <v>#VALUE!</v>
      </c>
      <c r="H33" s="47" t="s">
        <v>52</v>
      </c>
    </row>
    <row r="34" spans="1:14" s="45" customFormat="1">
      <c r="B34" s="47" t="s">
        <v>248</v>
      </c>
      <c r="C34" s="52"/>
      <c r="D34" s="47"/>
      <c r="E34" s="47"/>
      <c r="F34" s="74"/>
      <c r="G34" s="47"/>
      <c r="H34" s="47"/>
    </row>
    <row r="35" spans="1:14" s="45" customFormat="1">
      <c r="B35" s="47" t="s">
        <v>221</v>
      </c>
      <c r="C35" s="52"/>
      <c r="D35" s="258" t="s">
        <v>247</v>
      </c>
      <c r="E35" s="47" t="s">
        <v>109</v>
      </c>
      <c r="F35" s="75" t="e">
        <f>G33</f>
        <v>#VALUE!</v>
      </c>
      <c r="G35" s="76" t="e">
        <f>D35*F35</f>
        <v>#VALUE!</v>
      </c>
      <c r="H35" s="76" t="s">
        <v>52</v>
      </c>
    </row>
    <row r="36" spans="1:14" s="45" customFormat="1">
      <c r="B36" s="47"/>
      <c r="C36" s="52"/>
      <c r="D36" s="47"/>
      <c r="E36" s="47"/>
      <c r="F36" s="74"/>
      <c r="G36" s="47"/>
      <c r="H36" s="47"/>
    </row>
    <row r="37" spans="1:14" s="45" customFormat="1">
      <c r="C37" s="57"/>
      <c r="D37" s="56"/>
      <c r="E37" s="57"/>
      <c r="F37" s="45" t="s">
        <v>148</v>
      </c>
      <c r="G37" s="62" t="e">
        <f>G35</f>
        <v>#VALUE!</v>
      </c>
      <c r="H37" s="63" t="str">
        <f>H35</f>
        <v>Ha</v>
      </c>
    </row>
    <row r="38" spans="1:14">
      <c r="A38" s="187"/>
      <c r="B38" s="187"/>
      <c r="D38" s="189"/>
      <c r="E38" s="190"/>
      <c r="F38" s="180"/>
      <c r="G38" s="180"/>
      <c r="H38" s="180"/>
      <c r="I38" s="180"/>
    </row>
    <row r="39" spans="1:14" ht="126" customHeight="1">
      <c r="A39" s="180" t="str">
        <f>'R.A1'!A123</f>
        <v>Item No.5 :-</v>
      </c>
      <c r="B39" s="319" t="str">
        <f>abst!C8</f>
        <v>Carrying out line survey with digital state of art Total Station for fixing FRL/ HFL including C/s survey with levels at 20 m interval /survey for 'L' section of alternative Dam site OR 'L' section of river 1 Km u/s OR 1 Km D/s of alternative Dam site etc complete including station, including transfer of entire data to computer system in different georeferential layer /the mesusing features of standard plotting Softwares compatible with canal irrigation system design Softwares packages including contour plotting at specified interval and scale. The test print of the drawing shall be approved by Engineer -in- charge and the same shall be delivered in a CD format as well as hard copy in six numbers including one print on tracing paper as directed.</v>
      </c>
      <c r="C39" s="319"/>
      <c r="D39" s="319"/>
      <c r="E39" s="319"/>
      <c r="F39" s="319"/>
      <c r="G39" s="319"/>
      <c r="H39" s="319"/>
      <c r="I39" s="319"/>
    </row>
    <row r="40" spans="1:14">
      <c r="A40" s="187"/>
      <c r="B40" s="48" t="s">
        <v>82</v>
      </c>
      <c r="C40" s="48"/>
      <c r="D40" s="49" t="s">
        <v>68</v>
      </c>
      <c r="E40" s="49" t="s">
        <v>69</v>
      </c>
      <c r="F40" s="49" t="s">
        <v>70</v>
      </c>
      <c r="G40" s="50" t="s">
        <v>106</v>
      </c>
      <c r="H40" s="45"/>
      <c r="I40" s="180"/>
      <c r="N40" s="183" t="s">
        <v>223</v>
      </c>
    </row>
    <row r="41" spans="1:14">
      <c r="A41" s="187"/>
      <c r="B41" s="47" t="s">
        <v>140</v>
      </c>
      <c r="C41" s="52"/>
      <c r="D41" s="47" t="str">
        <f>E33</f>
        <v>{{B}}</v>
      </c>
      <c r="E41" s="47"/>
      <c r="F41" s="47">
        <v>3</v>
      </c>
      <c r="G41" s="47" t="e">
        <f>D41*F41</f>
        <v>#VALUE!</v>
      </c>
      <c r="H41" s="47" t="s">
        <v>14</v>
      </c>
      <c r="I41" s="180"/>
    </row>
    <row r="42" spans="1:14">
      <c r="A42" s="187"/>
      <c r="B42" s="47" t="s">
        <v>141</v>
      </c>
      <c r="C42" s="52"/>
      <c r="D42" s="47" t="str">
        <f>D8</f>
        <v>{{L}}</v>
      </c>
      <c r="E42" s="47"/>
      <c r="F42" s="47">
        <v>1</v>
      </c>
      <c r="G42" s="65" t="e">
        <f>D42*F42</f>
        <v>#VALUE!</v>
      </c>
      <c r="H42" s="47" t="s">
        <v>14</v>
      </c>
      <c r="I42" s="180"/>
    </row>
    <row r="43" spans="1:14">
      <c r="A43" s="187"/>
      <c r="B43" s="47"/>
      <c r="C43" s="52"/>
      <c r="D43" s="47"/>
      <c r="E43" s="47"/>
      <c r="F43" s="47"/>
      <c r="G43" s="47" t="e">
        <f>SUM(G41:G42)</f>
        <v>#VALUE!</v>
      </c>
      <c r="H43" s="47" t="s">
        <v>14</v>
      </c>
      <c r="I43" s="180"/>
    </row>
    <row r="44" spans="1:14" s="192" customFormat="1" ht="16.5">
      <c r="A44" s="191"/>
      <c r="C44" s="193"/>
      <c r="E44" s="194" t="s">
        <v>9</v>
      </c>
      <c r="F44" s="195" t="s">
        <v>73</v>
      </c>
      <c r="G44" s="196" t="e">
        <f>G43/1000</f>
        <v>#VALUE!</v>
      </c>
      <c r="H44" s="197" t="s">
        <v>111</v>
      </c>
    </row>
    <row r="45" spans="1:14" s="45" customFormat="1">
      <c r="D45" s="56"/>
      <c r="E45" s="56"/>
      <c r="F45" s="61"/>
      <c r="G45" s="62"/>
      <c r="H45" s="63"/>
    </row>
    <row r="46" spans="1:14" ht="84.75" customHeight="1">
      <c r="A46" s="180" t="str">
        <f>'R.A1'!A137</f>
        <v>Item No.6 :-</v>
      </c>
      <c r="B46" s="319" t="str">
        <f>abst!C9</f>
        <v>Providing permanent bench mark dressed stone of basalt, granite or gneiss of size 30CmX30CmX45Cm at least 15Cm below the ground and embedding it to a depth of 30Cm in grade M-15 in situ concrete of size 90CmX90CmX60Cm deep over 1M deep foundation concrete of grade M-10 including excavation, concrete, providing and fixing dressed stone and backfilling the pit up to ground level with sand etc complete. with all lifts as directed.</v>
      </c>
      <c r="C46" s="319"/>
      <c r="D46" s="319"/>
      <c r="E46" s="319"/>
      <c r="F46" s="319"/>
      <c r="G46" s="319"/>
      <c r="H46" s="319"/>
      <c r="I46" s="319"/>
    </row>
    <row r="47" spans="1:14" s="42" customFormat="1">
      <c r="A47" s="66"/>
      <c r="B47" s="198"/>
      <c r="C47" s="198"/>
      <c r="D47" s="66" t="s">
        <v>70</v>
      </c>
      <c r="E47" s="66" t="s">
        <v>87</v>
      </c>
      <c r="F47" s="66" t="s">
        <v>10</v>
      </c>
      <c r="G47" s="199" t="s">
        <v>106</v>
      </c>
    </row>
    <row r="48" spans="1:14" s="42" customFormat="1">
      <c r="B48" s="42" t="s">
        <v>130</v>
      </c>
      <c r="D48" s="66">
        <v>2</v>
      </c>
      <c r="E48" s="67"/>
      <c r="F48" s="66">
        <f>D48</f>
        <v>2</v>
      </c>
      <c r="G48" s="68">
        <f>F48</f>
        <v>2</v>
      </c>
      <c r="H48" s="42" t="s">
        <v>105</v>
      </c>
    </row>
    <row r="49" spans="1:9" s="42" customFormat="1">
      <c r="B49" s="42" t="s">
        <v>142</v>
      </c>
      <c r="F49" s="69"/>
      <c r="G49" s="68"/>
    </row>
    <row r="50" spans="1:9" s="42" customFormat="1">
      <c r="B50" s="200"/>
      <c r="C50" s="200"/>
      <c r="D50" s="200"/>
      <c r="E50" s="200"/>
      <c r="F50" s="70" t="s">
        <v>18</v>
      </c>
      <c r="G50" s="71">
        <f>G48</f>
        <v>2</v>
      </c>
      <c r="H50" s="72" t="str">
        <f>H48</f>
        <v>no</v>
      </c>
    </row>
    <row r="51" spans="1:9">
      <c r="A51" s="187"/>
      <c r="B51" s="188"/>
      <c r="D51" s="189"/>
      <c r="E51" s="190"/>
      <c r="F51" s="180"/>
      <c r="G51" s="180"/>
      <c r="H51" s="180"/>
      <c r="I51" s="180"/>
    </row>
    <row r="52" spans="1:9">
      <c r="A52" s="180"/>
      <c r="B52" s="185"/>
      <c r="C52" s="185"/>
      <c r="D52" s="185"/>
      <c r="E52" s="185"/>
      <c r="F52" s="185"/>
      <c r="G52" s="185"/>
      <c r="H52" s="185"/>
      <c r="I52" s="185"/>
    </row>
    <row r="53" spans="1:9" ht="115.5" customHeight="1">
      <c r="A53" s="180" t="str">
        <f>'R.A1'!A151</f>
        <v>Item No.7 :-</v>
      </c>
      <c r="B53" s="319" t="str">
        <f>abst!C10</f>
        <v>Taking trial bore for detailed investigation with NX diamond drill double tube in all sorts of soil like soft murum, hard murum and boulders including all materials such as casing pipes, accessories, grease, steel boolsam and other such materials and or as required including conveying such materials and machinery to site of works, preserving the loose samples in glass/plastic jar and core samples serially numbered at site of work and conveying the same to the head quarter of concerned office as directed and submission of detailed bore log sheet complete.(As directed by the Engineer in charge)</v>
      </c>
      <c r="C53" s="319"/>
      <c r="D53" s="319"/>
      <c r="E53" s="319"/>
      <c r="F53" s="319"/>
      <c r="G53" s="319"/>
      <c r="H53" s="319"/>
      <c r="I53" s="319"/>
    </row>
    <row r="54" spans="1:9" s="42" customFormat="1">
      <c r="A54" s="192"/>
      <c r="B54" s="259" t="s">
        <v>230</v>
      </c>
      <c r="C54" s="262"/>
      <c r="D54" s="262"/>
      <c r="E54" s="262"/>
      <c r="F54" s="198"/>
      <c r="G54" s="198"/>
      <c r="H54" s="198"/>
    </row>
    <row r="55" spans="1:9" s="42" customFormat="1">
      <c r="D55" s="200" t="s">
        <v>143</v>
      </c>
      <c r="E55" s="200" t="s">
        <v>144</v>
      </c>
      <c r="F55" s="200" t="s">
        <v>16</v>
      </c>
      <c r="G55" s="201" t="s">
        <v>93</v>
      </c>
    </row>
    <row r="56" spans="1:9" s="42" customFormat="1">
      <c r="B56" s="200"/>
      <c r="D56" s="200">
        <v>1</v>
      </c>
      <c r="E56" s="260" t="s">
        <v>232</v>
      </c>
      <c r="F56" s="261" t="s">
        <v>234</v>
      </c>
      <c r="G56" s="203" t="e">
        <f>F56*E56*D56</f>
        <v>#VALUE!</v>
      </c>
    </row>
    <row r="57" spans="1:9" s="42" customFormat="1">
      <c r="B57" s="200"/>
      <c r="D57" s="200">
        <v>1</v>
      </c>
      <c r="E57" s="260" t="s">
        <v>233</v>
      </c>
      <c r="F57" s="261" t="s">
        <v>235</v>
      </c>
      <c r="G57" s="203" t="e">
        <f>F57*E57*D57</f>
        <v>#VALUE!</v>
      </c>
    </row>
    <row r="58" spans="1:9" s="42" customFormat="1">
      <c r="F58" s="70" t="s">
        <v>9</v>
      </c>
      <c r="G58" s="204" t="e">
        <f>SUM(G56:G57)</f>
        <v>#VALUE!</v>
      </c>
    </row>
    <row r="59" spans="1:9" s="42" customFormat="1" ht="13.5" customHeight="1">
      <c r="A59" s="205"/>
      <c r="B59" s="205"/>
      <c r="C59" s="205"/>
      <c r="F59" s="70" t="s">
        <v>34</v>
      </c>
      <c r="G59" s="204" t="e">
        <f>ROUND(G58,1)</f>
        <v>#VALUE!</v>
      </c>
      <c r="H59" s="206" t="s">
        <v>62</v>
      </c>
    </row>
    <row r="60" spans="1:9" s="42" customFormat="1" ht="13.5" customHeight="1">
      <c r="A60" s="205"/>
      <c r="B60" s="205"/>
      <c r="C60" s="205"/>
      <c r="F60" s="70"/>
      <c r="G60" s="204"/>
      <c r="H60" s="206"/>
    </row>
    <row r="61" spans="1:9" s="42" customFormat="1">
      <c r="A61" s="192"/>
      <c r="B61" s="259" t="s">
        <v>231</v>
      </c>
      <c r="C61" s="198"/>
      <c r="D61" s="198"/>
      <c r="E61" s="198"/>
      <c r="F61" s="198"/>
      <c r="G61" s="198"/>
      <c r="H61" s="198"/>
    </row>
    <row r="62" spans="1:9" s="42" customFormat="1">
      <c r="D62" s="200" t="s">
        <v>143</v>
      </c>
      <c r="E62" s="200" t="s">
        <v>144</v>
      </c>
      <c r="F62" s="200" t="s">
        <v>16</v>
      </c>
      <c r="G62" s="201" t="s">
        <v>93</v>
      </c>
    </row>
    <row r="63" spans="1:9" s="42" customFormat="1">
      <c r="B63" s="200"/>
      <c r="D63" s="200">
        <v>1</v>
      </c>
      <c r="E63" s="260" t="str">
        <f>E56</f>
        <v>{{B_R}}</v>
      </c>
      <c r="F63" s="261" t="s">
        <v>236</v>
      </c>
      <c r="G63" s="203" t="e">
        <f>F63*E63*D63</f>
        <v>#VALUE!</v>
      </c>
    </row>
    <row r="64" spans="1:9" s="42" customFormat="1">
      <c r="B64" s="200"/>
      <c r="D64" s="200">
        <v>1</v>
      </c>
      <c r="E64" s="260" t="str">
        <f>E57</f>
        <v>{{B_B}}</v>
      </c>
      <c r="F64" s="261" t="s">
        <v>237</v>
      </c>
      <c r="G64" s="203" t="e">
        <f>F64*E64*D64</f>
        <v>#VALUE!</v>
      </c>
    </row>
    <row r="65" spans="1:9" s="42" customFormat="1">
      <c r="C65" s="42" t="s">
        <v>94</v>
      </c>
      <c r="E65" s="200"/>
      <c r="F65" s="70" t="s">
        <v>9</v>
      </c>
      <c r="G65" s="204" t="e">
        <f>SUM(G63:G64)</f>
        <v>#VALUE!</v>
      </c>
    </row>
    <row r="66" spans="1:9" s="42" customFormat="1" ht="13.5" customHeight="1">
      <c r="A66" s="205"/>
      <c r="B66" s="205"/>
      <c r="C66" s="205"/>
      <c r="F66" s="70" t="s">
        <v>34</v>
      </c>
      <c r="G66" s="204" t="e">
        <f>ROUND(G65,1)</f>
        <v>#VALUE!</v>
      </c>
      <c r="H66" s="206" t="s">
        <v>62</v>
      </c>
    </row>
    <row r="68" spans="1:9" ht="32.25" customHeight="1">
      <c r="A68" s="180" t="str">
        <f>'R.A1'!A173</f>
        <v>Item No.8 :-</v>
      </c>
      <c r="B68" s="319" t="str">
        <f>abst!C13</f>
        <v>Providing core box of MS of size size 1.25mx0.35mx0.15m for preserving core sample with all fixtures and fastening handles including locking arrangement etc. complete.</v>
      </c>
      <c r="C68" s="319"/>
      <c r="D68" s="319"/>
      <c r="E68" s="319"/>
      <c r="F68" s="319"/>
      <c r="G68" s="319"/>
      <c r="H68" s="319"/>
      <c r="I68" s="319"/>
    </row>
    <row r="69" spans="1:9" s="42" customFormat="1">
      <c r="A69" s="192"/>
      <c r="B69" s="66"/>
      <c r="C69" s="66"/>
      <c r="D69" s="66"/>
      <c r="E69" s="66"/>
      <c r="F69" s="66"/>
      <c r="G69" s="201" t="s">
        <v>97</v>
      </c>
      <c r="H69" s="198"/>
    </row>
    <row r="70" spans="1:9" s="42" customFormat="1">
      <c r="A70" s="192"/>
      <c r="B70" s="192"/>
      <c r="C70" s="192"/>
      <c r="D70" s="192"/>
      <c r="E70" s="207" t="s">
        <v>98</v>
      </c>
      <c r="F70" s="208" t="s">
        <v>9</v>
      </c>
      <c r="G70" s="204" t="e">
        <f>(G66)/6</f>
        <v>#VALUE!</v>
      </c>
      <c r="H70" s="198"/>
    </row>
    <row r="71" spans="1:9" s="42" customFormat="1">
      <c r="A71" s="200"/>
      <c r="B71" s="200"/>
      <c r="C71" s="200"/>
      <c r="D71" s="200"/>
      <c r="E71" s="200"/>
      <c r="F71" s="70" t="s">
        <v>18</v>
      </c>
      <c r="G71" s="204" t="e">
        <f>ROUNDUP(G70,0)</f>
        <v>#VALUE!</v>
      </c>
      <c r="H71" s="206" t="s">
        <v>70</v>
      </c>
    </row>
    <row r="72" spans="1:9" s="209" customFormat="1"/>
    <row r="73" spans="1:9" s="209" customFormat="1" ht="99" customHeight="1">
      <c r="A73" s="210" t="str">
        <f>'R.A1'!A190</f>
        <v>Item No.9 :-</v>
      </c>
      <c r="B73" s="321" t="str">
        <f>abst!C14</f>
        <v xml:space="preserve">Providing and maintaining temparory platform for erecting boring machine in river bed to the depth of standing water 2 m and above and of size 3.50 x 4.00 M by using 20 Nos. of M.S. empty barrels in M.S. frame made of M.S. angle size 50 x 50 x 5 mm with fabrication and over it in jungle wood planks platform of size 3.50 x 4.00 x 0.03 M size including supplying of nylon rope 24 mm dia. for anchoring platform include passage platform and engaging a labour etc. complete. 2 m and above.
</v>
      </c>
      <c r="C73" s="321"/>
      <c r="D73" s="321"/>
      <c r="E73" s="321"/>
      <c r="F73" s="321"/>
      <c r="G73" s="321"/>
      <c r="H73" s="321"/>
      <c r="I73" s="321"/>
    </row>
    <row r="74" spans="1:9" s="141" customFormat="1">
      <c r="A74" s="211"/>
      <c r="B74" s="212"/>
      <c r="C74" s="212"/>
      <c r="D74" s="212"/>
      <c r="E74" s="212"/>
      <c r="F74" s="212"/>
      <c r="G74" s="213" t="s">
        <v>97</v>
      </c>
      <c r="H74" s="214"/>
    </row>
    <row r="75" spans="1:9" s="141" customFormat="1">
      <c r="A75" s="211"/>
      <c r="B75" s="324" t="s">
        <v>206</v>
      </c>
      <c r="C75" s="324"/>
      <c r="D75" s="324"/>
      <c r="E75" s="215"/>
      <c r="F75" s="216" t="s">
        <v>9</v>
      </c>
      <c r="G75" s="217">
        <v>1</v>
      </c>
      <c r="H75" s="214"/>
    </row>
    <row r="76" spans="1:9" s="141" customFormat="1">
      <c r="A76" s="182"/>
      <c r="B76" s="182"/>
      <c r="C76" s="182"/>
      <c r="D76" s="182"/>
      <c r="E76" s="182"/>
      <c r="F76" s="218" t="s">
        <v>18</v>
      </c>
      <c r="G76" s="217">
        <f>ROUNDUP(G75,0)</f>
        <v>1</v>
      </c>
      <c r="H76" s="219" t="s">
        <v>70</v>
      </c>
    </row>
    <row r="78" spans="1:9" ht="32.25" customHeight="1">
      <c r="A78" s="180" t="str">
        <f>'R.A1'!A204</f>
        <v>Item No.10 :-</v>
      </c>
      <c r="B78" s="319" t="str">
        <f>abst!C15</f>
        <v>Shifting boring plant with all its components and reinstalling the same at the directed place including all its charges etc. complete.</v>
      </c>
      <c r="C78" s="319"/>
      <c r="D78" s="319"/>
      <c r="E78" s="319"/>
      <c r="F78" s="319"/>
      <c r="G78" s="319"/>
      <c r="H78" s="319"/>
      <c r="I78" s="319"/>
    </row>
    <row r="79" spans="1:9">
      <c r="A79" s="180"/>
      <c r="B79" s="185"/>
      <c r="C79" s="185"/>
      <c r="D79" s="185"/>
      <c r="E79" s="185"/>
      <c r="F79" s="185"/>
      <c r="G79" s="185"/>
      <c r="H79" s="185"/>
      <c r="I79" s="185"/>
    </row>
    <row r="80" spans="1:9" s="42" customFormat="1">
      <c r="A80" s="200"/>
      <c r="B80" s="205" t="s">
        <v>101</v>
      </c>
      <c r="D80" s="220" t="e">
        <f>(E56+E57)</f>
        <v>#VALUE!</v>
      </c>
      <c r="E80" s="221" t="s">
        <v>75</v>
      </c>
      <c r="F80" s="200">
        <v>1</v>
      </c>
      <c r="G80" s="202" t="e">
        <f>D80-F80</f>
        <v>#VALUE!</v>
      </c>
      <c r="H80" s="205" t="s">
        <v>70</v>
      </c>
    </row>
    <row r="81" spans="1:9" s="42" customFormat="1">
      <c r="A81" s="200"/>
      <c r="B81" s="200"/>
      <c r="C81" s="200"/>
      <c r="D81" s="200"/>
      <c r="E81" s="200"/>
      <c r="F81" s="70" t="s">
        <v>18</v>
      </c>
      <c r="G81" s="222" t="e">
        <f>ROUND(G80,1)</f>
        <v>#VALUE!</v>
      </c>
      <c r="H81" s="206" t="s">
        <v>70</v>
      </c>
    </row>
    <row r="82" spans="1:9" s="42" customFormat="1">
      <c r="A82" s="192"/>
      <c r="B82" s="66"/>
      <c r="C82" s="66"/>
      <c r="D82" s="66"/>
      <c r="E82" s="66"/>
      <c r="F82" s="66"/>
      <c r="G82" s="201"/>
      <c r="H82" s="198"/>
    </row>
    <row r="83" spans="1:9" s="42" customFormat="1" ht="81" customHeight="1">
      <c r="A83" s="210" t="str">
        <f>'R.A1'!A221</f>
        <v>Item No.11 :-</v>
      </c>
      <c r="B83" s="321" t="str">
        <f>'R.A1'!B221</f>
        <v>Providing detailed geological reports of proposed site by maintaining geotechnical investigation of structure stratification collecting soil, rock and ground water samples for laboratory tests to arrive the foundation design parameters . Rock properties such as type of rock, jointing fractures, etc. complete with suggestion about the site foundation and remedies.</v>
      </c>
      <c r="C83" s="321"/>
      <c r="D83" s="321"/>
      <c r="E83" s="321"/>
      <c r="F83" s="321"/>
      <c r="G83" s="321"/>
      <c r="H83" s="321"/>
      <c r="I83" s="321"/>
    </row>
    <row r="84" spans="1:9" s="42" customFormat="1">
      <c r="A84" s="210"/>
      <c r="B84" s="223"/>
      <c r="C84" s="223"/>
      <c r="D84" s="224" t="s">
        <v>56</v>
      </c>
      <c r="E84" s="224"/>
      <c r="F84" s="223"/>
      <c r="G84" s="224" t="s">
        <v>9</v>
      </c>
      <c r="H84" s="223"/>
      <c r="I84" s="223"/>
    </row>
    <row r="85" spans="1:9" s="42" customFormat="1">
      <c r="A85" s="51"/>
      <c r="B85" s="225"/>
      <c r="C85" s="52"/>
      <c r="D85" s="54">
        <v>1</v>
      </c>
      <c r="E85" s="54"/>
      <c r="F85" s="54"/>
      <c r="G85" s="226">
        <f>D85</f>
        <v>1</v>
      </c>
      <c r="H85" s="226" t="str">
        <f>H87</f>
        <v>Nos</v>
      </c>
      <c r="I85" s="47"/>
    </row>
    <row r="86" spans="1:9" s="42" customFormat="1">
      <c r="A86" s="210"/>
      <c r="B86" s="223"/>
      <c r="C86" s="223"/>
      <c r="D86" s="223"/>
      <c r="E86" s="223"/>
      <c r="F86" s="223"/>
      <c r="G86" s="227"/>
      <c r="H86" s="224"/>
      <c r="I86" s="223"/>
    </row>
    <row r="87" spans="1:9" s="42" customFormat="1">
      <c r="A87" s="209"/>
      <c r="B87" s="209"/>
      <c r="C87" s="209"/>
      <c r="D87" s="209"/>
      <c r="E87" s="209"/>
      <c r="F87" s="218" t="s">
        <v>9</v>
      </c>
      <c r="G87" s="228">
        <f>SUM(G85:G86)</f>
        <v>1</v>
      </c>
      <c r="H87" s="228" t="s">
        <v>70</v>
      </c>
      <c r="I87" s="209"/>
    </row>
    <row r="88" spans="1:9" s="42" customFormat="1">
      <c r="A88" s="192"/>
      <c r="B88" s="66"/>
      <c r="C88" s="66"/>
      <c r="D88" s="66"/>
      <c r="E88" s="66"/>
      <c r="F88" s="66"/>
      <c r="G88" s="201"/>
      <c r="H88" s="198"/>
    </row>
    <row r="89" spans="1:9" s="42" customFormat="1">
      <c r="A89" s="192"/>
      <c r="B89" s="66"/>
      <c r="C89" s="66"/>
      <c r="D89" s="66"/>
      <c r="E89" s="66"/>
      <c r="F89" s="66"/>
      <c r="G89" s="201"/>
      <c r="H89" s="198"/>
    </row>
    <row r="90" spans="1:9" s="42" customFormat="1">
      <c r="A90" s="192"/>
      <c r="B90" s="66"/>
      <c r="C90" s="66"/>
      <c r="D90" s="66"/>
      <c r="E90" s="66"/>
      <c r="F90" s="66"/>
      <c r="G90" s="201"/>
      <c r="H90" s="198"/>
    </row>
    <row r="91" spans="1:9" s="42" customFormat="1">
      <c r="A91" s="192"/>
      <c r="B91" s="66"/>
      <c r="C91" s="66"/>
      <c r="D91" s="66"/>
      <c r="E91" s="66"/>
      <c r="F91" s="66"/>
      <c r="G91" s="201"/>
      <c r="H91" s="198"/>
    </row>
    <row r="92" spans="1:9">
      <c r="A92" s="187" t="str">
        <f>abst!A18</f>
        <v>Prepared by</v>
      </c>
    </row>
    <row r="93" spans="1:9">
      <c r="A93" s="187"/>
    </row>
    <row r="94" spans="1:9">
      <c r="A94" s="187"/>
    </row>
    <row r="95" spans="1:9">
      <c r="A95" s="187"/>
      <c r="C95" s="189"/>
      <c r="E95" s="323"/>
      <c r="F95" s="323"/>
    </row>
    <row r="96" spans="1:9">
      <c r="A96" s="187"/>
      <c r="C96" s="189"/>
      <c r="E96" s="229" t="str">
        <f>abst!C22</f>
        <v>Sub Divisional Engineer</v>
      </c>
      <c r="F96" s="229"/>
    </row>
    <row r="97" spans="1:6">
      <c r="A97" s="187"/>
      <c r="C97" s="189"/>
      <c r="E97" s="322" t="str">
        <f>abst!C23</f>
        <v>{{SDE_1}}</v>
      </c>
      <c r="F97" s="322"/>
    </row>
    <row r="98" spans="1:6">
      <c r="A98" s="187" t="str">
        <f>abst!A23</f>
        <v>Junior Engineer</v>
      </c>
      <c r="C98" s="189"/>
      <c r="E98" s="322" t="str">
        <f>abst!C24</f>
        <v>{{SDE_2}}</v>
      </c>
      <c r="F98" s="322"/>
    </row>
  </sheetData>
  <mergeCells count="18">
    <mergeCell ref="B83:I83"/>
    <mergeCell ref="E98:F98"/>
    <mergeCell ref="B68:I68"/>
    <mergeCell ref="B78:I78"/>
    <mergeCell ref="E95:F95"/>
    <mergeCell ref="B73:I73"/>
    <mergeCell ref="B75:D75"/>
    <mergeCell ref="E97:F97"/>
    <mergeCell ref="A1:I2"/>
    <mergeCell ref="A3:I3"/>
    <mergeCell ref="B5:I5"/>
    <mergeCell ref="B39:I39"/>
    <mergeCell ref="B53:I53"/>
    <mergeCell ref="B46:I46"/>
    <mergeCell ref="E12:F12"/>
    <mergeCell ref="B14:I14"/>
    <mergeCell ref="B22:I22"/>
    <mergeCell ref="B31:I31"/>
  </mergeCells>
  <pageMargins left="0.34" right="0.36" top="0.43" bottom="0.43" header="0.3" footer="0.3"/>
  <pageSetup paperSize="9" scale="88" orientation="portrait" horizontalDpi="300" verticalDpi="300" r:id="rId1"/>
  <rowBreaks count="2" manualBreakCount="2">
    <brk id="38" max="8" man="1"/>
    <brk id="67"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34"/>
  <sheetViews>
    <sheetView view="pageBreakPreview" topLeftCell="A208" zoomScaleNormal="85" zoomScaleSheetLayoutView="100" workbookViewId="0">
      <selection activeCell="D233" sqref="D233:I234"/>
    </sheetView>
  </sheetViews>
  <sheetFormatPr defaultRowHeight="13.5"/>
  <cols>
    <col min="1" max="1" width="10.85546875" style="103" customWidth="1"/>
    <col min="2" max="2" width="3.5703125" style="103" customWidth="1"/>
    <col min="3" max="3" width="2.85546875" style="103" customWidth="1"/>
    <col min="4" max="4" width="34.140625" style="103" customWidth="1"/>
    <col min="5" max="5" width="8.7109375" style="103" customWidth="1"/>
    <col min="6" max="6" width="8.140625" style="103" customWidth="1"/>
    <col min="7" max="7" width="5" style="103" customWidth="1"/>
    <col min="8" max="8" width="9.85546875" style="103" customWidth="1"/>
    <col min="9" max="9" width="7.7109375" style="103" customWidth="1"/>
    <col min="10" max="45" width="9.7109375" style="103" customWidth="1"/>
    <col min="46" max="16384" width="9.140625" style="103"/>
  </cols>
  <sheetData>
    <row r="1" spans="1:9" ht="36" customHeight="1">
      <c r="A1" s="325" t="str">
        <f>cover!A24</f>
        <v>Carrying out survey and investigation for KT weir on {{River}} River of  near {{Village}} village Tal. {{Taluka}} Dist. {{District}}</v>
      </c>
      <c r="B1" s="325"/>
      <c r="C1" s="325"/>
      <c r="D1" s="325"/>
      <c r="E1" s="325"/>
      <c r="F1" s="325"/>
      <c r="G1" s="325"/>
      <c r="H1" s="325"/>
      <c r="I1" s="325"/>
    </row>
    <row r="2" spans="1:9" ht="12.95" customHeight="1">
      <c r="A2" s="326"/>
      <c r="B2" s="326"/>
      <c r="C2" s="326"/>
      <c r="D2" s="326"/>
      <c r="E2" s="326"/>
      <c r="F2" s="326"/>
      <c r="G2" s="327"/>
      <c r="H2" s="327"/>
      <c r="I2" s="327"/>
    </row>
    <row r="3" spans="1:9" s="104" customFormat="1" ht="15.95" customHeight="1">
      <c r="A3" s="328" t="s">
        <v>33</v>
      </c>
      <c r="B3" s="328"/>
      <c r="C3" s="328"/>
      <c r="D3" s="328"/>
      <c r="E3" s="328"/>
      <c r="F3" s="328"/>
      <c r="G3" s="328"/>
      <c r="H3" s="328"/>
      <c r="I3" s="328"/>
    </row>
    <row r="4" spans="1:9" ht="31.5" customHeight="1">
      <c r="A4" s="79" t="s">
        <v>51</v>
      </c>
      <c r="B4" s="329" t="str">
        <f>abst!C4</f>
        <v>Cleaning grass and removal of rubbish upto a distance of 50 meters outside the periphery of the area as directed.</v>
      </c>
      <c r="C4" s="329"/>
      <c r="D4" s="329"/>
      <c r="E4" s="329"/>
      <c r="F4" s="329"/>
      <c r="G4" s="329"/>
      <c r="H4" s="329"/>
      <c r="I4" s="329"/>
    </row>
    <row r="5" spans="1:9" ht="15.95" customHeight="1">
      <c r="A5" s="79"/>
      <c r="B5" s="330" t="s">
        <v>210</v>
      </c>
      <c r="C5" s="330"/>
      <c r="D5" s="330"/>
      <c r="E5" s="330"/>
      <c r="F5" s="330"/>
      <c r="G5" s="105"/>
      <c r="H5" s="106">
        <v>4.3499999999999996</v>
      </c>
      <c r="I5" s="107" t="s">
        <v>17</v>
      </c>
    </row>
    <row r="6" spans="1:9" s="93" customFormat="1" ht="15.95" customHeight="1">
      <c r="B6" s="93" t="s">
        <v>77</v>
      </c>
      <c r="H6" s="94">
        <f>0.1*H5</f>
        <v>0.435</v>
      </c>
      <c r="I6" s="107" t="s">
        <v>17</v>
      </c>
    </row>
    <row r="7" spans="1:9" s="93" customFormat="1" ht="15.95" customHeight="1">
      <c r="B7" s="93" t="s">
        <v>78</v>
      </c>
      <c r="H7" s="94">
        <f>0.01*H5</f>
        <v>4.3499999999999997E-2</v>
      </c>
      <c r="I7" s="107" t="s">
        <v>17</v>
      </c>
    </row>
    <row r="8" spans="1:9" s="93" customFormat="1" ht="15.95" customHeight="1">
      <c r="B8" s="93" t="s">
        <v>79</v>
      </c>
      <c r="H8" s="95">
        <f>SUM(H5:H7)</f>
        <v>4.8284999999999991</v>
      </c>
      <c r="I8" s="107" t="s">
        <v>17</v>
      </c>
    </row>
    <row r="9" spans="1:9" s="93" customFormat="1" ht="15.95" customHeight="1">
      <c r="A9" s="108"/>
      <c r="B9" s="96"/>
      <c r="C9" s="96"/>
      <c r="D9" s="97" t="s">
        <v>80</v>
      </c>
      <c r="E9" s="98">
        <f>ROUND((H8/0.05),0)*0.05</f>
        <v>4.8500000000000005</v>
      </c>
      <c r="F9" s="99" t="s">
        <v>81</v>
      </c>
      <c r="G9" s="96"/>
      <c r="H9" s="96"/>
      <c r="I9" s="96"/>
    </row>
    <row r="10" spans="1:9" s="93" customFormat="1" ht="15.95" customHeight="1">
      <c r="A10" s="108" t="s">
        <v>132</v>
      </c>
      <c r="B10" s="96"/>
      <c r="C10" s="96"/>
      <c r="D10" s="97"/>
      <c r="E10" s="98"/>
      <c r="F10" s="99"/>
      <c r="G10" s="96"/>
      <c r="H10" s="96"/>
      <c r="I10" s="96"/>
    </row>
    <row r="11" spans="1:9" s="93" customFormat="1" ht="15.95" customHeight="1">
      <c r="A11" s="108"/>
      <c r="B11" s="96"/>
      <c r="C11" s="96"/>
      <c r="D11" s="97"/>
      <c r="E11" s="98"/>
      <c r="F11" s="99"/>
      <c r="G11" s="96"/>
      <c r="H11" s="96"/>
      <c r="I11" s="96"/>
    </row>
    <row r="12" spans="1:9" s="93" customFormat="1" ht="15.95" customHeight="1">
      <c r="A12" s="108"/>
      <c r="B12" s="181"/>
      <c r="C12" s="181"/>
      <c r="D12" s="97"/>
      <c r="E12" s="98"/>
      <c r="F12" s="99"/>
      <c r="G12" s="181"/>
      <c r="H12" s="181"/>
      <c r="I12" s="181"/>
    </row>
    <row r="13" spans="1:9" s="93" customFormat="1" ht="15.95" customHeight="1">
      <c r="A13" s="108"/>
      <c r="B13" s="181"/>
      <c r="C13" s="181"/>
      <c r="D13" s="97"/>
      <c r="E13" s="98"/>
      <c r="F13" s="99"/>
      <c r="G13" s="181"/>
      <c r="H13" s="181"/>
      <c r="I13" s="181"/>
    </row>
    <row r="14" spans="1:9" s="93" customFormat="1" ht="15.95" customHeight="1">
      <c r="A14" s="108"/>
      <c r="B14" s="96"/>
      <c r="C14" s="96"/>
      <c r="D14" s="97"/>
      <c r="E14" s="98"/>
      <c r="F14" s="99"/>
      <c r="G14" s="96"/>
      <c r="H14" s="96"/>
      <c r="I14" s="96"/>
    </row>
    <row r="15" spans="1:9" s="93" customFormat="1" ht="15.95" customHeight="1">
      <c r="A15" s="108"/>
      <c r="B15" s="96"/>
      <c r="C15" s="96"/>
      <c r="D15" s="97"/>
      <c r="E15" s="98"/>
      <c r="F15" s="99"/>
      <c r="G15" s="96"/>
      <c r="H15" s="96"/>
      <c r="I15" s="96"/>
    </row>
    <row r="16" spans="1:9" s="93" customFormat="1" ht="15.95" customHeight="1">
      <c r="A16" s="108"/>
      <c r="B16" s="96"/>
      <c r="C16" s="96"/>
      <c r="D16" s="331" t="s">
        <v>134</v>
      </c>
      <c r="E16" s="331"/>
      <c r="F16" s="331"/>
      <c r="G16" s="331" t="s">
        <v>135</v>
      </c>
      <c r="H16" s="331"/>
      <c r="I16" s="331"/>
    </row>
    <row r="17" spans="1:9" s="93" customFormat="1" ht="15.95" customHeight="1">
      <c r="A17" s="108"/>
      <c r="B17" s="96"/>
      <c r="C17" s="96"/>
      <c r="D17" s="333" t="s">
        <v>239</v>
      </c>
      <c r="E17" s="333"/>
      <c r="F17" s="333"/>
      <c r="G17" s="332" t="s">
        <v>241</v>
      </c>
      <c r="H17" s="332"/>
      <c r="I17" s="332"/>
    </row>
    <row r="18" spans="1:9" s="93" customFormat="1" ht="15.95" customHeight="1">
      <c r="A18" s="108" t="s">
        <v>222</v>
      </c>
      <c r="B18" s="96"/>
      <c r="C18" s="96"/>
      <c r="D18" s="333" t="s">
        <v>240</v>
      </c>
      <c r="E18" s="333"/>
      <c r="F18" s="333"/>
      <c r="G18" s="332" t="s">
        <v>242</v>
      </c>
      <c r="H18" s="332"/>
      <c r="I18" s="332"/>
    </row>
    <row r="19" spans="1:9" s="93" customFormat="1" ht="15.95" customHeight="1">
      <c r="A19" s="108"/>
      <c r="B19" s="181"/>
      <c r="C19" s="181"/>
      <c r="D19" s="181"/>
      <c r="E19" s="181"/>
      <c r="F19" s="181"/>
      <c r="G19" s="181"/>
      <c r="H19" s="181"/>
      <c r="I19" s="181"/>
    </row>
    <row r="20" spans="1:9" s="93" customFormat="1" ht="15.95" customHeight="1">
      <c r="A20" s="108"/>
      <c r="B20" s="181"/>
      <c r="C20" s="181"/>
      <c r="D20" s="181"/>
      <c r="E20" s="181"/>
      <c r="F20" s="181"/>
      <c r="G20" s="181"/>
      <c r="H20" s="181"/>
      <c r="I20" s="181"/>
    </row>
    <row r="21" spans="1:9" ht="15.95" customHeight="1">
      <c r="A21" s="109"/>
      <c r="B21" s="109"/>
      <c r="C21" s="109"/>
      <c r="D21" s="109"/>
      <c r="E21" s="110"/>
      <c r="F21" s="110"/>
      <c r="G21" s="111"/>
      <c r="H21" s="110"/>
      <c r="I21" s="112"/>
    </row>
    <row r="22" spans="1:9" ht="42.6" customHeight="1">
      <c r="A22" s="79" t="s">
        <v>53</v>
      </c>
      <c r="B22" s="329" t="str">
        <f>abst!C5</f>
        <v>Double levelling using Auto level to connect Geodetic Trignometrical survey, benchmark and establishing permanent benchmark at Dam site at place along the canal alignment, submergence and in command area etc. complete, as directed.(Excluding cost of B.M. structure)</v>
      </c>
      <c r="C22" s="329"/>
      <c r="D22" s="329"/>
      <c r="E22" s="329"/>
      <c r="F22" s="329"/>
      <c r="G22" s="329"/>
      <c r="H22" s="329"/>
      <c r="I22" s="329"/>
    </row>
    <row r="23" spans="1:9" ht="15.95" customHeight="1">
      <c r="A23" s="79"/>
      <c r="B23" s="330" t="s">
        <v>211</v>
      </c>
      <c r="C23" s="330"/>
      <c r="D23" s="330"/>
      <c r="E23" s="330"/>
      <c r="F23" s="330"/>
      <c r="G23" s="105"/>
      <c r="H23" s="85">
        <v>1095.8499999999999</v>
      </c>
      <c r="I23" s="92" t="s">
        <v>84</v>
      </c>
    </row>
    <row r="24" spans="1:9" s="93" customFormat="1" ht="15.95" customHeight="1">
      <c r="B24" s="93" t="s">
        <v>77</v>
      </c>
      <c r="H24" s="94">
        <f>0.1*H23</f>
        <v>109.58499999999999</v>
      </c>
      <c r="I24" s="92" t="s">
        <v>84</v>
      </c>
    </row>
    <row r="25" spans="1:9" s="93" customFormat="1" ht="15.95" customHeight="1">
      <c r="B25" s="93" t="s">
        <v>78</v>
      </c>
      <c r="H25" s="94">
        <f>0.01*H23</f>
        <v>10.958499999999999</v>
      </c>
      <c r="I25" s="92" t="s">
        <v>84</v>
      </c>
    </row>
    <row r="26" spans="1:9" s="93" customFormat="1" ht="15.95" customHeight="1">
      <c r="B26" s="93" t="s">
        <v>79</v>
      </c>
      <c r="H26" s="95">
        <f>SUM(H23:H25)</f>
        <v>1216.3934999999999</v>
      </c>
      <c r="I26" s="92" t="s">
        <v>84</v>
      </c>
    </row>
    <row r="27" spans="1:9" s="93" customFormat="1" ht="15.95" customHeight="1">
      <c r="A27" s="108"/>
      <c r="B27" s="96"/>
      <c r="C27" s="96"/>
      <c r="D27" s="97" t="s">
        <v>80</v>
      </c>
      <c r="E27" s="98">
        <f>ROUND((H26/0.05),0)*0.05</f>
        <v>1216.4000000000001</v>
      </c>
      <c r="F27" s="99" t="s">
        <v>85</v>
      </c>
      <c r="G27" s="96"/>
      <c r="H27" s="96"/>
      <c r="I27" s="96"/>
    </row>
    <row r="28" spans="1:9" s="93" customFormat="1" ht="15.95" customHeight="1">
      <c r="A28" s="108" t="s">
        <v>132</v>
      </c>
      <c r="B28" s="96"/>
      <c r="C28" s="96"/>
      <c r="D28" s="97"/>
      <c r="E28" s="98"/>
      <c r="F28" s="99"/>
      <c r="G28" s="96"/>
      <c r="H28" s="96"/>
      <c r="I28" s="96"/>
    </row>
    <row r="29" spans="1:9" s="93" customFormat="1" ht="15.95" customHeight="1">
      <c r="A29" s="108"/>
      <c r="B29" s="96"/>
      <c r="C29" s="96"/>
      <c r="D29" s="97"/>
      <c r="E29" s="98"/>
      <c r="F29" s="99"/>
      <c r="G29" s="96"/>
      <c r="H29" s="96"/>
      <c r="I29" s="96"/>
    </row>
    <row r="30" spans="1:9" s="93" customFormat="1" ht="15.95" customHeight="1">
      <c r="A30" s="108"/>
      <c r="B30" s="181"/>
      <c r="C30" s="181"/>
      <c r="D30" s="97"/>
      <c r="E30" s="98"/>
      <c r="F30" s="99"/>
      <c r="G30" s="181"/>
      <c r="H30" s="181"/>
      <c r="I30" s="181"/>
    </row>
    <row r="31" spans="1:9" s="93" customFormat="1" ht="15.95" customHeight="1">
      <c r="A31" s="108"/>
      <c r="B31" s="181"/>
      <c r="C31" s="181"/>
      <c r="D31" s="97"/>
      <c r="E31" s="98"/>
      <c r="F31" s="99"/>
      <c r="G31" s="181"/>
      <c r="H31" s="181"/>
      <c r="I31" s="181"/>
    </row>
    <row r="32" spans="1:9" s="93" customFormat="1" ht="15.95" customHeight="1">
      <c r="A32" s="108"/>
      <c r="B32" s="96"/>
      <c r="C32" s="96"/>
      <c r="D32" s="97"/>
      <c r="E32" s="98"/>
      <c r="F32" s="99"/>
      <c r="G32" s="96"/>
      <c r="H32" s="96"/>
      <c r="I32" s="96"/>
    </row>
    <row r="33" spans="1:9" s="93" customFormat="1" ht="15.95" customHeight="1">
      <c r="A33" s="108"/>
      <c r="B33" s="96"/>
      <c r="C33" s="96"/>
      <c r="D33" s="97"/>
      <c r="E33" s="98"/>
      <c r="F33" s="99"/>
      <c r="G33" s="96"/>
      <c r="H33" s="96"/>
      <c r="I33" s="96"/>
    </row>
    <row r="34" spans="1:9" s="93" customFormat="1" ht="15.95" customHeight="1">
      <c r="A34" s="108"/>
      <c r="B34" s="96"/>
      <c r="C34" s="96"/>
      <c r="D34" s="331" t="s">
        <v>134</v>
      </c>
      <c r="E34" s="331"/>
      <c r="F34" s="331"/>
      <c r="G34" s="331" t="s">
        <v>135</v>
      </c>
      <c r="H34" s="331"/>
      <c r="I34" s="331"/>
    </row>
    <row r="35" spans="1:9" s="93" customFormat="1" ht="15.95" customHeight="1">
      <c r="A35" s="108"/>
      <c r="B35" s="96"/>
      <c r="C35" s="96"/>
      <c r="D35" s="333" t="s">
        <v>239</v>
      </c>
      <c r="E35" s="333"/>
      <c r="F35" s="333"/>
      <c r="G35" s="332" t="s">
        <v>241</v>
      </c>
      <c r="H35" s="332"/>
      <c r="I35" s="332"/>
    </row>
    <row r="36" spans="1:9" s="93" customFormat="1" ht="15.95" customHeight="1">
      <c r="A36" s="108" t="s">
        <v>222</v>
      </c>
      <c r="B36" s="96"/>
      <c r="C36" s="96"/>
      <c r="D36" s="333" t="s">
        <v>240</v>
      </c>
      <c r="E36" s="333"/>
      <c r="F36" s="333"/>
      <c r="G36" s="332" t="s">
        <v>242</v>
      </c>
      <c r="H36" s="332"/>
      <c r="I36" s="332"/>
    </row>
    <row r="37" spans="1:9" ht="15.95" customHeight="1">
      <c r="A37" s="109"/>
      <c r="B37" s="109"/>
      <c r="C37" s="109"/>
      <c r="D37" s="109"/>
      <c r="E37" s="110"/>
      <c r="F37" s="110"/>
      <c r="G37" s="111"/>
      <c r="H37" s="110"/>
      <c r="I37" s="112"/>
    </row>
    <row r="38" spans="1:9" ht="98.45" customHeight="1">
      <c r="A38" s="79" t="s">
        <v>57</v>
      </c>
      <c r="B38" s="329" t="str">
        <f>abst!C6</f>
        <v>Block contour survey of 10m x 10m grid (Not less than 121 raw data points distributed uniformly over a Hectare) for irrigation projects using digital state of art Total Station / DGPS, including transfer of entire data to computer system in different georeferential layer / themes using features of standard plotting Softwares compatible with canal irrigation system design Software packages including contour plotting at specified interval and scale. The test print of the drawing shall be approved by Engineer-in-charge and the same shall be delivered in a CD format as well as hard copy in six numbers.</v>
      </c>
      <c r="C38" s="329"/>
      <c r="D38" s="329"/>
      <c r="E38" s="329"/>
      <c r="F38" s="329"/>
      <c r="G38" s="329"/>
      <c r="H38" s="329"/>
      <c r="I38" s="329"/>
    </row>
    <row r="39" spans="1:9" ht="15.95" customHeight="1">
      <c r="A39" s="79"/>
      <c r="B39" s="330" t="s">
        <v>212</v>
      </c>
      <c r="C39" s="330"/>
      <c r="D39" s="330"/>
      <c r="E39" s="330"/>
      <c r="F39" s="330"/>
      <c r="G39" s="105"/>
      <c r="H39" s="85">
        <v>378.97</v>
      </c>
      <c r="I39" s="92" t="s">
        <v>110</v>
      </c>
    </row>
    <row r="40" spans="1:9" s="93" customFormat="1" ht="15.95" customHeight="1">
      <c r="B40" s="93" t="s">
        <v>77</v>
      </c>
      <c r="H40" s="94">
        <f>0.1*H39</f>
        <v>37.897000000000006</v>
      </c>
      <c r="I40" s="92" t="str">
        <f>I39</f>
        <v xml:space="preserve"> /ha</v>
      </c>
    </row>
    <row r="41" spans="1:9" s="93" customFormat="1" ht="15.95" customHeight="1">
      <c r="B41" s="93" t="s">
        <v>78</v>
      </c>
      <c r="H41" s="94">
        <f>0.01*H39</f>
        <v>3.7897000000000003</v>
      </c>
      <c r="I41" s="92" t="str">
        <f>I40</f>
        <v xml:space="preserve"> /ha</v>
      </c>
    </row>
    <row r="42" spans="1:9" s="93" customFormat="1" ht="15.95" customHeight="1">
      <c r="B42" s="93" t="s">
        <v>79</v>
      </c>
      <c r="H42" s="95">
        <f>SUM(H39:H41)</f>
        <v>420.6567</v>
      </c>
      <c r="I42" s="92" t="str">
        <f>I41</f>
        <v xml:space="preserve"> /ha</v>
      </c>
    </row>
    <row r="43" spans="1:9" s="93" customFormat="1" ht="15.95" customHeight="1">
      <c r="A43" s="108"/>
      <c r="B43" s="96"/>
      <c r="C43" s="96"/>
      <c r="D43" s="97" t="s">
        <v>80</v>
      </c>
      <c r="E43" s="98">
        <f>ROUND((H42/0.05),0)*0.05</f>
        <v>420.65000000000003</v>
      </c>
      <c r="F43" s="99" t="s">
        <v>86</v>
      </c>
      <c r="G43" s="96"/>
      <c r="H43" s="96"/>
      <c r="I43" s="96"/>
    </row>
    <row r="44" spans="1:9" s="93" customFormat="1" ht="15.95" customHeight="1">
      <c r="A44" s="108" t="s">
        <v>132</v>
      </c>
      <c r="B44" s="96"/>
      <c r="C44" s="96"/>
      <c r="D44" s="97"/>
      <c r="E44" s="98"/>
      <c r="F44" s="99"/>
      <c r="G44" s="96"/>
      <c r="H44" s="96"/>
      <c r="I44" s="96"/>
    </row>
    <row r="45" spans="1:9" s="93" customFormat="1" ht="15.95" customHeight="1">
      <c r="A45" s="108"/>
      <c r="B45" s="96"/>
      <c r="C45" s="96"/>
      <c r="D45" s="97"/>
      <c r="E45" s="98"/>
      <c r="F45" s="99"/>
      <c r="G45" s="96"/>
      <c r="H45" s="96"/>
      <c r="I45" s="96"/>
    </row>
    <row r="46" spans="1:9" s="93" customFormat="1" ht="15.95" customHeight="1">
      <c r="A46" s="108"/>
      <c r="B46" s="96"/>
      <c r="C46" s="96"/>
      <c r="D46" s="97"/>
      <c r="E46" s="98"/>
      <c r="F46" s="99"/>
      <c r="G46" s="96"/>
      <c r="H46" s="96"/>
      <c r="I46" s="96"/>
    </row>
    <row r="47" spans="1:9" s="93" customFormat="1" ht="15.95" customHeight="1">
      <c r="A47" s="108"/>
      <c r="B47" s="96"/>
      <c r="C47" s="96"/>
      <c r="D47" s="97"/>
      <c r="E47" s="98"/>
      <c r="F47" s="99"/>
      <c r="G47" s="96"/>
      <c r="H47" s="96"/>
      <c r="I47" s="96"/>
    </row>
    <row r="48" spans="1:9" s="93" customFormat="1" ht="15.95" customHeight="1">
      <c r="A48" s="108"/>
      <c r="B48" s="96"/>
      <c r="C48" s="96"/>
      <c r="D48" s="331" t="s">
        <v>134</v>
      </c>
      <c r="E48" s="331"/>
      <c r="F48" s="331"/>
      <c r="G48" s="331" t="s">
        <v>135</v>
      </c>
      <c r="H48" s="331"/>
      <c r="I48" s="331"/>
    </row>
    <row r="49" spans="1:9" s="93" customFormat="1" ht="15.95" customHeight="1">
      <c r="A49" s="108"/>
      <c r="B49" s="96"/>
      <c r="C49" s="96"/>
      <c r="D49" s="333" t="s">
        <v>239</v>
      </c>
      <c r="E49" s="333"/>
      <c r="F49" s="333"/>
      <c r="G49" s="332" t="s">
        <v>241</v>
      </c>
      <c r="H49" s="332"/>
      <c r="I49" s="332"/>
    </row>
    <row r="50" spans="1:9" s="93" customFormat="1" ht="15.95" customHeight="1">
      <c r="A50" s="108" t="s">
        <v>222</v>
      </c>
      <c r="B50" s="96"/>
      <c r="C50" s="96"/>
      <c r="D50" s="333" t="s">
        <v>240</v>
      </c>
      <c r="E50" s="333"/>
      <c r="F50" s="333"/>
      <c r="G50" s="332" t="s">
        <v>242</v>
      </c>
      <c r="H50" s="332"/>
      <c r="I50" s="332"/>
    </row>
    <row r="51" spans="1:9" ht="15.95" customHeight="1">
      <c r="A51" s="109"/>
      <c r="B51" s="109"/>
      <c r="C51" s="109"/>
      <c r="D51" s="109"/>
      <c r="E51" s="110"/>
      <c r="F51" s="110"/>
      <c r="G51" s="111"/>
      <c r="H51" s="110"/>
      <c r="I51" s="112"/>
    </row>
    <row r="52" spans="1:9" ht="84.6" customHeight="1">
      <c r="A52" s="79" t="s">
        <v>59</v>
      </c>
      <c r="B52" s="329" t="str">
        <f>abst!C7</f>
        <v>Block contour survey of 10m x 10m grid, using Differential Global Position System (DGPS) instrument including labour, transportation, using sounding by boat in river water in wet condition and transfer of entire data to computer system in different georeferential layers/ themes using features of standard plotting software computable with design software package including contour plotting at required interval and at a scale and following deliverables etc. all complete as directed.</v>
      </c>
      <c r="C52" s="329"/>
      <c r="D52" s="329"/>
      <c r="E52" s="329"/>
      <c r="F52" s="329"/>
      <c r="G52" s="329"/>
      <c r="H52" s="329"/>
      <c r="I52" s="329"/>
    </row>
    <row r="53" spans="1:9" s="104" customFormat="1" ht="15.95" customHeight="1">
      <c r="A53" s="80"/>
      <c r="B53" s="335" t="s">
        <v>149</v>
      </c>
      <c r="C53" s="335"/>
      <c r="D53" s="335"/>
      <c r="E53" s="81"/>
      <c r="F53" s="81"/>
      <c r="G53" s="81"/>
      <c r="H53" s="81"/>
      <c r="I53" s="81"/>
    </row>
    <row r="54" spans="1:9" s="104" customFormat="1" ht="29.25" customHeight="1">
      <c r="A54" s="80"/>
      <c r="B54" s="335" t="s">
        <v>150</v>
      </c>
      <c r="C54" s="335"/>
      <c r="D54" s="335"/>
      <c r="E54" s="335"/>
      <c r="F54" s="335"/>
      <c r="G54" s="335"/>
      <c r="H54" s="335"/>
      <c r="I54" s="335"/>
    </row>
    <row r="55" spans="1:9" s="104" customFormat="1" ht="15.95" customHeight="1">
      <c r="A55" s="80"/>
      <c r="B55" s="335" t="s">
        <v>151</v>
      </c>
      <c r="C55" s="335"/>
      <c r="D55" s="335"/>
      <c r="E55" s="335"/>
      <c r="F55" s="335"/>
      <c r="G55" s="335"/>
      <c r="H55" s="335"/>
      <c r="I55" s="335"/>
    </row>
    <row r="56" spans="1:9" s="104" customFormat="1" ht="15.95" customHeight="1">
      <c r="A56" s="80"/>
      <c r="B56" s="335" t="s">
        <v>152</v>
      </c>
      <c r="C56" s="335"/>
      <c r="D56" s="335"/>
      <c r="E56" s="335"/>
      <c r="F56" s="335"/>
      <c r="G56" s="335"/>
      <c r="H56" s="335"/>
      <c r="I56" s="335"/>
    </row>
    <row r="57" spans="1:9" s="104" customFormat="1" ht="15.95" customHeight="1">
      <c r="A57" s="80"/>
      <c r="B57" s="335" t="s">
        <v>153</v>
      </c>
      <c r="C57" s="335"/>
      <c r="D57" s="335"/>
      <c r="E57" s="335"/>
      <c r="F57" s="335"/>
      <c r="G57" s="335"/>
      <c r="H57" s="335"/>
      <c r="I57" s="335"/>
    </row>
    <row r="58" spans="1:9" s="104" customFormat="1" ht="15.95" customHeight="1">
      <c r="A58" s="80"/>
      <c r="B58" s="335" t="s">
        <v>154</v>
      </c>
      <c r="C58" s="335"/>
      <c r="D58" s="335"/>
      <c r="E58" s="335"/>
      <c r="F58" s="335"/>
      <c r="G58" s="335"/>
      <c r="H58" s="335"/>
      <c r="I58" s="335"/>
    </row>
    <row r="59" spans="1:9" s="104" customFormat="1" ht="15.95" customHeight="1">
      <c r="A59" s="80"/>
      <c r="B59" s="335" t="s">
        <v>155</v>
      </c>
      <c r="C59" s="335"/>
      <c r="D59" s="335"/>
      <c r="E59" s="335"/>
      <c r="F59" s="335"/>
      <c r="G59" s="335"/>
      <c r="H59" s="335"/>
      <c r="I59" s="335"/>
    </row>
    <row r="60" spans="1:9" s="104" customFormat="1" ht="15.95" customHeight="1">
      <c r="A60" s="80"/>
      <c r="B60" s="335" t="s">
        <v>156</v>
      </c>
      <c r="C60" s="335"/>
      <c r="D60" s="335"/>
      <c r="E60" s="335"/>
      <c r="F60" s="335"/>
      <c r="G60" s="335"/>
      <c r="H60" s="335"/>
      <c r="I60" s="335"/>
    </row>
    <row r="61" spans="1:9" s="104" customFormat="1" ht="29.25" customHeight="1">
      <c r="A61" s="80"/>
      <c r="B61" s="335" t="s">
        <v>157</v>
      </c>
      <c r="C61" s="335"/>
      <c r="D61" s="335"/>
      <c r="E61" s="335"/>
      <c r="F61" s="335"/>
      <c r="G61" s="335"/>
      <c r="H61" s="335"/>
      <c r="I61" s="335"/>
    </row>
    <row r="62" spans="1:9" s="104" customFormat="1">
      <c r="A62" s="80"/>
      <c r="B62" s="101"/>
      <c r="C62" s="101"/>
      <c r="D62" s="101"/>
      <c r="E62" s="101"/>
      <c r="F62" s="101"/>
      <c r="G62" s="101"/>
      <c r="H62" s="101"/>
      <c r="I62" s="101"/>
    </row>
    <row r="63" spans="1:9" s="104" customFormat="1" ht="15.95" customHeight="1">
      <c r="A63" s="80"/>
      <c r="B63" s="82" t="s">
        <v>158</v>
      </c>
      <c r="C63" s="334" t="s">
        <v>159</v>
      </c>
      <c r="D63" s="334"/>
      <c r="E63" s="101"/>
      <c r="F63" s="101"/>
      <c r="G63" s="101"/>
      <c r="H63" s="101"/>
      <c r="I63" s="101"/>
    </row>
    <row r="64" spans="1:9" s="104" customFormat="1" ht="15.95" customHeight="1">
      <c r="A64" s="80"/>
      <c r="B64" s="101"/>
      <c r="C64" s="83">
        <v>1</v>
      </c>
      <c r="D64" s="101" t="s">
        <v>160</v>
      </c>
      <c r="E64" s="101"/>
      <c r="F64" s="101"/>
      <c r="G64" s="101"/>
      <c r="H64" s="101"/>
      <c r="I64" s="101"/>
    </row>
    <row r="65" spans="1:9" s="104" customFormat="1" ht="15.95" customHeight="1">
      <c r="A65" s="80"/>
      <c r="B65" s="101"/>
      <c r="C65" s="101" t="s">
        <v>161</v>
      </c>
      <c r="D65" s="101" t="s">
        <v>162</v>
      </c>
      <c r="E65" s="83">
        <v>1</v>
      </c>
      <c r="F65" s="83">
        <v>1317</v>
      </c>
      <c r="G65" s="84" t="s">
        <v>163</v>
      </c>
      <c r="H65" s="85">
        <f>ROUND(E65*F65,2)</f>
        <v>1317</v>
      </c>
      <c r="I65" s="101"/>
    </row>
    <row r="66" spans="1:9" s="104" customFormat="1" ht="15.95" customHeight="1">
      <c r="A66" s="80"/>
      <c r="B66" s="101"/>
      <c r="C66" s="101" t="s">
        <v>164</v>
      </c>
      <c r="D66" s="101" t="s">
        <v>165</v>
      </c>
      <c r="E66" s="83">
        <v>1</v>
      </c>
      <c r="F66" s="83">
        <v>815</v>
      </c>
      <c r="G66" s="84" t="s">
        <v>163</v>
      </c>
      <c r="H66" s="85">
        <f>ROUND(E66*F66,2)</f>
        <v>815</v>
      </c>
      <c r="I66" s="101"/>
    </row>
    <row r="67" spans="1:9" s="104" customFormat="1" ht="30" customHeight="1">
      <c r="A67" s="80"/>
      <c r="B67" s="101"/>
      <c r="C67" s="101" t="s">
        <v>166</v>
      </c>
      <c r="D67" s="101" t="s">
        <v>219</v>
      </c>
      <c r="E67" s="83">
        <v>1</v>
      </c>
      <c r="F67" s="83">
        <v>650</v>
      </c>
      <c r="G67" s="84" t="s">
        <v>163</v>
      </c>
      <c r="H67" s="85">
        <f>ROUND(E67*F67,2)</f>
        <v>650</v>
      </c>
      <c r="I67" s="101"/>
    </row>
    <row r="68" spans="1:9" s="104" customFormat="1" ht="30" customHeight="1">
      <c r="A68" s="80"/>
      <c r="B68" s="101"/>
      <c r="C68" s="101" t="s">
        <v>167</v>
      </c>
      <c r="D68" s="101" t="s">
        <v>220</v>
      </c>
      <c r="E68" s="83">
        <v>1</v>
      </c>
      <c r="F68" s="83">
        <v>650</v>
      </c>
      <c r="G68" s="84" t="s">
        <v>163</v>
      </c>
      <c r="H68" s="85">
        <f>ROUND(E68*F68,2)</f>
        <v>650</v>
      </c>
      <c r="I68" s="101"/>
    </row>
    <row r="69" spans="1:9" s="104" customFormat="1" ht="15.95" customHeight="1">
      <c r="A69" s="80"/>
      <c r="B69" s="101"/>
      <c r="C69" s="101"/>
      <c r="D69" s="84" t="s">
        <v>9</v>
      </c>
      <c r="E69" s="101"/>
      <c r="F69" s="101"/>
      <c r="G69" s="101"/>
      <c r="H69" s="82">
        <f>SUM(H65:H68)</f>
        <v>3432</v>
      </c>
      <c r="I69" s="101"/>
    </row>
    <row r="70" spans="1:9" s="104" customFormat="1" ht="15.95" customHeight="1">
      <c r="A70" s="80"/>
      <c r="B70" s="101"/>
      <c r="C70" s="83">
        <v>2</v>
      </c>
      <c r="D70" s="101" t="s">
        <v>168</v>
      </c>
      <c r="E70" s="101"/>
      <c r="F70" s="101"/>
      <c r="G70" s="101"/>
      <c r="H70" s="101"/>
      <c r="I70" s="101"/>
    </row>
    <row r="71" spans="1:9" s="104" customFormat="1" ht="15.95" customHeight="1">
      <c r="A71" s="80"/>
      <c r="B71" s="101"/>
      <c r="C71" s="101"/>
      <c r="D71" s="101" t="s">
        <v>169</v>
      </c>
      <c r="E71" s="83">
        <v>5</v>
      </c>
      <c r="F71" s="83">
        <v>604</v>
      </c>
      <c r="G71" s="84" t="s">
        <v>163</v>
      </c>
      <c r="H71" s="85">
        <f>ROUND(E71*F71,2)</f>
        <v>3020</v>
      </c>
      <c r="I71" s="101"/>
    </row>
    <row r="72" spans="1:9" s="104" customFormat="1" ht="15.95" customHeight="1">
      <c r="A72" s="80"/>
      <c r="B72" s="101"/>
      <c r="C72" s="101"/>
      <c r="D72" s="102" t="s">
        <v>170</v>
      </c>
      <c r="E72" s="101"/>
      <c r="F72" s="101"/>
      <c r="G72" s="101"/>
      <c r="H72" s="82">
        <f>H69+H71</f>
        <v>6452</v>
      </c>
      <c r="I72" s="101"/>
    </row>
    <row r="73" spans="1:9" s="104" customFormat="1" ht="15.95" customHeight="1">
      <c r="A73" s="80"/>
      <c r="B73" s="101"/>
      <c r="C73" s="101"/>
      <c r="D73" s="102"/>
      <c r="E73" s="101"/>
      <c r="F73" s="101"/>
      <c r="G73" s="101"/>
      <c r="H73" s="82"/>
      <c r="I73" s="101"/>
    </row>
    <row r="74" spans="1:9" s="104" customFormat="1" ht="15.95" customHeight="1">
      <c r="A74" s="80"/>
      <c r="B74" s="82" t="s">
        <v>171</v>
      </c>
      <c r="C74" s="334" t="s">
        <v>172</v>
      </c>
      <c r="D74" s="334"/>
      <c r="E74" s="101"/>
      <c r="F74" s="101"/>
      <c r="G74" s="101"/>
      <c r="H74" s="101"/>
      <c r="I74" s="101"/>
    </row>
    <row r="75" spans="1:9" s="104" customFormat="1" ht="15.95" customHeight="1">
      <c r="A75" s="80"/>
      <c r="B75" s="101"/>
      <c r="C75" s="101"/>
      <c r="D75" s="101" t="s">
        <v>173</v>
      </c>
      <c r="E75" s="83">
        <v>1</v>
      </c>
      <c r="F75" s="83">
        <v>815</v>
      </c>
      <c r="G75" s="84" t="s">
        <v>163</v>
      </c>
      <c r="H75" s="85">
        <f>ROUND(E75*F75,2)</f>
        <v>815</v>
      </c>
      <c r="I75" s="101"/>
    </row>
    <row r="76" spans="1:9" s="104" customFormat="1" ht="15.95" customHeight="1">
      <c r="A76" s="80"/>
      <c r="B76" s="101"/>
      <c r="C76" s="101"/>
      <c r="D76" s="101" t="s">
        <v>174</v>
      </c>
      <c r="E76" s="85"/>
      <c r="F76" s="85"/>
      <c r="G76" s="85"/>
      <c r="H76" s="85">
        <f>H75</f>
        <v>815</v>
      </c>
      <c r="I76" s="101"/>
    </row>
    <row r="77" spans="1:9" s="104" customFormat="1" ht="15.95" customHeight="1">
      <c r="A77" s="80"/>
      <c r="B77" s="81"/>
      <c r="C77" s="81"/>
      <c r="D77" s="102" t="s">
        <v>175</v>
      </c>
      <c r="E77" s="85"/>
      <c r="F77" s="85"/>
      <c r="G77" s="85"/>
      <c r="H77" s="82">
        <f>H72+H76</f>
        <v>7267</v>
      </c>
      <c r="I77" s="81"/>
    </row>
    <row r="78" spans="1:9" s="104" customFormat="1" ht="15.95" customHeight="1">
      <c r="A78" s="80"/>
      <c r="B78" s="81"/>
      <c r="C78" s="81"/>
      <c r="D78" s="102"/>
      <c r="E78" s="85"/>
      <c r="F78" s="85"/>
      <c r="G78" s="85"/>
      <c r="H78" s="82"/>
      <c r="I78" s="81"/>
    </row>
    <row r="79" spans="1:9" s="104" customFormat="1" ht="15.95" customHeight="1">
      <c r="A79" s="80"/>
      <c r="B79" s="82" t="s">
        <v>176</v>
      </c>
      <c r="C79" s="334" t="s">
        <v>159</v>
      </c>
      <c r="D79" s="334"/>
      <c r="E79" s="86"/>
      <c r="F79" s="86"/>
      <c r="G79" s="86"/>
      <c r="H79" s="87"/>
      <c r="I79" s="81"/>
    </row>
    <row r="80" spans="1:9" s="104" customFormat="1" ht="15.95" customHeight="1">
      <c r="A80" s="80"/>
      <c r="B80" s="81"/>
      <c r="C80" s="84" t="s">
        <v>161</v>
      </c>
      <c r="D80" s="101" t="s">
        <v>177</v>
      </c>
      <c r="E80" s="101"/>
      <c r="F80" s="84" t="s">
        <v>178</v>
      </c>
      <c r="G80" s="101"/>
      <c r="H80" s="85">
        <v>25.37</v>
      </c>
      <c r="I80" s="81"/>
    </row>
    <row r="81" spans="1:9" s="104" customFormat="1" ht="15.95" customHeight="1">
      <c r="A81" s="80"/>
      <c r="B81" s="81"/>
      <c r="C81" s="84" t="s">
        <v>164</v>
      </c>
      <c r="D81" s="101" t="s">
        <v>179</v>
      </c>
      <c r="E81" s="101"/>
      <c r="F81" s="84" t="s">
        <v>180</v>
      </c>
      <c r="G81" s="101"/>
      <c r="H81" s="85">
        <v>120</v>
      </c>
      <c r="I81" s="81"/>
    </row>
    <row r="82" spans="1:9" s="104" customFormat="1" ht="15.95" customHeight="1">
      <c r="A82" s="80"/>
      <c r="B82" s="81"/>
      <c r="C82" s="84" t="s">
        <v>166</v>
      </c>
      <c r="D82" s="101" t="s">
        <v>181</v>
      </c>
      <c r="E82" s="101"/>
      <c r="F82" s="101"/>
      <c r="G82" s="101"/>
      <c r="H82" s="85">
        <v>50</v>
      </c>
      <c r="I82" s="81"/>
    </row>
    <row r="83" spans="1:9" s="104" customFormat="1" ht="15.95" customHeight="1">
      <c r="A83" s="80"/>
      <c r="B83" s="81"/>
      <c r="C83" s="101"/>
      <c r="D83" s="102" t="s">
        <v>182</v>
      </c>
      <c r="E83" s="101"/>
      <c r="F83" s="101"/>
      <c r="G83" s="101"/>
      <c r="H83" s="82">
        <f>SUM(H80:H82)</f>
        <v>195.37</v>
      </c>
      <c r="I83" s="81"/>
    </row>
    <row r="84" spans="1:9" s="104" customFormat="1" ht="15.95" customHeight="1">
      <c r="A84" s="80"/>
      <c r="B84" s="81"/>
      <c r="C84" s="101"/>
      <c r="D84" s="102"/>
      <c r="E84" s="101"/>
      <c r="F84" s="101"/>
      <c r="G84" s="101"/>
      <c r="H84" s="82"/>
      <c r="I84" s="81"/>
    </row>
    <row r="85" spans="1:9" s="104" customFormat="1" ht="15.95" customHeight="1">
      <c r="A85" s="80"/>
      <c r="B85" s="82" t="s">
        <v>183</v>
      </c>
      <c r="C85" s="334" t="s">
        <v>184</v>
      </c>
      <c r="D85" s="334"/>
      <c r="E85" s="86"/>
      <c r="F85" s="86"/>
      <c r="G85" s="86"/>
      <c r="H85" s="87"/>
      <c r="I85" s="81"/>
    </row>
    <row r="86" spans="1:9" s="104" customFormat="1" ht="15.95" customHeight="1">
      <c r="A86" s="80"/>
      <c r="B86" s="81"/>
      <c r="C86" s="101" t="s">
        <v>161</v>
      </c>
      <c r="D86" s="101" t="s">
        <v>185</v>
      </c>
      <c r="E86" s="83">
        <v>1</v>
      </c>
      <c r="F86" s="83">
        <v>325000</v>
      </c>
      <c r="G86" s="84" t="s">
        <v>56</v>
      </c>
      <c r="H86" s="85">
        <f>ROUND(E86*F86,2)</f>
        <v>325000</v>
      </c>
      <c r="I86" s="81"/>
    </row>
    <row r="87" spans="1:9" s="104" customFormat="1" ht="15.95" customHeight="1">
      <c r="A87" s="80"/>
      <c r="B87" s="81"/>
      <c r="C87" s="101" t="s">
        <v>164</v>
      </c>
      <c r="D87" s="101" t="s">
        <v>186</v>
      </c>
      <c r="E87" s="83">
        <v>1</v>
      </c>
      <c r="F87" s="83">
        <v>845</v>
      </c>
      <c r="G87" s="101"/>
      <c r="H87" s="85">
        <f>ROUND(E87*F87,2)</f>
        <v>845</v>
      </c>
      <c r="I87" s="81"/>
    </row>
    <row r="88" spans="1:9" s="104" customFormat="1" ht="15.95" customHeight="1">
      <c r="A88" s="80"/>
      <c r="B88" s="81"/>
      <c r="C88" s="101"/>
      <c r="D88" s="101" t="s">
        <v>9</v>
      </c>
      <c r="E88" s="83"/>
      <c r="F88" s="83"/>
      <c r="G88" s="101"/>
      <c r="H88" s="85">
        <f>H86+H87</f>
        <v>325845</v>
      </c>
      <c r="I88" s="81"/>
    </row>
    <row r="89" spans="1:9" s="104" customFormat="1" ht="27" customHeight="1">
      <c r="A89" s="80"/>
      <c r="B89" s="81"/>
      <c r="C89" s="101"/>
      <c r="D89" s="101" t="str">
        <f>CONCATENATE("Price instrument per monrh (325845 x0.12) = ",H89,"/Month")</f>
        <v>Price instrument per monrh (325845 x0.12) = 39101.4/Month</v>
      </c>
      <c r="E89" s="84">
        <v>0.12</v>
      </c>
      <c r="F89" s="83">
        <f>H88</f>
        <v>325845</v>
      </c>
      <c r="G89" s="101"/>
      <c r="H89" s="85">
        <f>ROUND(E89*F89,2)</f>
        <v>39101.4</v>
      </c>
      <c r="I89" s="81"/>
    </row>
    <row r="90" spans="1:9" s="104" customFormat="1" ht="29.25" customHeight="1">
      <c r="A90" s="80"/>
      <c r="B90" s="81"/>
      <c r="C90" s="101"/>
      <c r="D90" s="101" t="str">
        <f>CONCATENATE("Hire charges per day (",H89,"/30) = ",H90," Say ",H91)</f>
        <v>Hire charges per day (39101.4/30) = 1303.38 Say 1300</v>
      </c>
      <c r="E90" s="101"/>
      <c r="F90" s="101"/>
      <c r="G90" s="101"/>
      <c r="H90" s="85">
        <f>ROUND(H89/30,2)</f>
        <v>1303.3800000000001</v>
      </c>
      <c r="I90" s="81"/>
    </row>
    <row r="91" spans="1:9" s="104" customFormat="1" ht="15.95" customHeight="1">
      <c r="A91" s="80"/>
      <c r="B91" s="81"/>
      <c r="C91" s="101"/>
      <c r="D91" s="102" t="s">
        <v>187</v>
      </c>
      <c r="E91" s="101"/>
      <c r="F91" s="101"/>
      <c r="G91" s="101"/>
      <c r="H91" s="82">
        <f>ROUND(H90,-2)</f>
        <v>1300</v>
      </c>
      <c r="I91" s="81"/>
    </row>
    <row r="92" spans="1:9" s="104" customFormat="1" ht="15.95" customHeight="1">
      <c r="A92" s="80"/>
      <c r="B92" s="81"/>
      <c r="C92" s="101"/>
      <c r="D92" s="102"/>
      <c r="E92" s="101"/>
      <c r="F92" s="101"/>
      <c r="G92" s="101"/>
      <c r="H92" s="82"/>
      <c r="I92" s="81"/>
    </row>
    <row r="93" spans="1:9" s="104" customFormat="1" ht="15.95" customHeight="1">
      <c r="A93" s="80"/>
      <c r="B93" s="82" t="s">
        <v>188</v>
      </c>
      <c r="C93" s="334" t="s">
        <v>189</v>
      </c>
      <c r="D93" s="334"/>
      <c r="E93" s="86"/>
      <c r="F93" s="86"/>
      <c r="G93" s="86"/>
      <c r="H93" s="87"/>
      <c r="I93" s="81"/>
    </row>
    <row r="94" spans="1:9" s="104" customFormat="1" ht="43.5" customHeight="1">
      <c r="A94" s="80"/>
      <c r="B94" s="81"/>
      <c r="C94" s="81"/>
      <c r="D94" s="101" t="s">
        <v>190</v>
      </c>
      <c r="E94" s="101"/>
      <c r="F94" s="101"/>
      <c r="G94" s="101"/>
      <c r="H94" s="85">
        <v>200</v>
      </c>
      <c r="I94" s="81"/>
    </row>
    <row r="95" spans="1:9" s="104" customFormat="1" ht="15.95" customHeight="1">
      <c r="A95" s="80"/>
      <c r="B95" s="81"/>
      <c r="C95" s="81"/>
      <c r="D95" s="102" t="s">
        <v>191</v>
      </c>
      <c r="E95" s="101"/>
      <c r="F95" s="101"/>
      <c r="G95" s="101"/>
      <c r="H95" s="82">
        <f>SUM(H94)</f>
        <v>200</v>
      </c>
      <c r="I95" s="81"/>
    </row>
    <row r="96" spans="1:9" s="104" customFormat="1" ht="15.95" customHeight="1">
      <c r="A96" s="80"/>
      <c r="B96" s="81"/>
      <c r="C96" s="81"/>
      <c r="D96" s="102" t="s">
        <v>192</v>
      </c>
      <c r="E96" s="101"/>
      <c r="F96" s="101"/>
      <c r="G96" s="101"/>
      <c r="H96" s="82">
        <f>H77+H83+H91+H95</f>
        <v>8962.369999999999</v>
      </c>
      <c r="I96" s="81"/>
    </row>
    <row r="97" spans="1:9" s="104" customFormat="1" ht="15.95" customHeight="1">
      <c r="A97" s="80"/>
      <c r="B97" s="81"/>
      <c r="C97" s="81"/>
      <c r="D97" s="102"/>
      <c r="E97" s="101"/>
      <c r="F97" s="101"/>
      <c r="G97" s="101"/>
      <c r="H97" s="82"/>
      <c r="I97" s="81"/>
    </row>
    <row r="98" spans="1:9" s="104" customFormat="1" ht="15.95" customHeight="1">
      <c r="A98" s="80"/>
      <c r="B98" s="82" t="s">
        <v>193</v>
      </c>
      <c r="C98" s="334" t="s">
        <v>194</v>
      </c>
      <c r="D98" s="334"/>
      <c r="E98" s="88">
        <v>0.01</v>
      </c>
      <c r="F98" s="89"/>
      <c r="G98" s="89"/>
      <c r="H98" s="90">
        <f>ROUND(H96*0.01,2)</f>
        <v>89.62</v>
      </c>
      <c r="I98" s="81"/>
    </row>
    <row r="99" spans="1:9" s="104" customFormat="1" ht="15.95" customHeight="1">
      <c r="A99" s="80"/>
      <c r="B99" s="81"/>
      <c r="C99" s="335" t="s">
        <v>195</v>
      </c>
      <c r="D99" s="335"/>
      <c r="E99" s="89"/>
      <c r="F99" s="89"/>
      <c r="G99" s="89"/>
      <c r="H99" s="91">
        <f>H96+H98</f>
        <v>9051.99</v>
      </c>
      <c r="I99" s="81"/>
    </row>
    <row r="100" spans="1:9" s="104" customFormat="1" ht="30.75" customHeight="1">
      <c r="A100" s="80"/>
      <c r="B100" s="82" t="s">
        <v>196</v>
      </c>
      <c r="C100" s="334" t="s">
        <v>197</v>
      </c>
      <c r="D100" s="334"/>
      <c r="E100" s="88">
        <v>0.2</v>
      </c>
      <c r="F100" s="89"/>
      <c r="G100" s="89"/>
      <c r="H100" s="91">
        <f>ROUND(H99*0.2,2)</f>
        <v>1810.4</v>
      </c>
      <c r="I100" s="81"/>
    </row>
    <row r="101" spans="1:9" s="104" customFormat="1" ht="15.95" customHeight="1">
      <c r="A101" s="80"/>
      <c r="B101" s="82" t="s">
        <v>198</v>
      </c>
      <c r="C101" s="334" t="s">
        <v>199</v>
      </c>
      <c r="D101" s="334"/>
      <c r="E101" s="89"/>
      <c r="F101" s="89"/>
      <c r="G101" s="89"/>
      <c r="H101" s="91">
        <f>H99+H100</f>
        <v>10862.39</v>
      </c>
      <c r="I101" s="81"/>
    </row>
    <row r="102" spans="1:9" s="104" customFormat="1" ht="15.95" customHeight="1">
      <c r="A102" s="80"/>
      <c r="B102" s="81"/>
      <c r="C102" s="335" t="s">
        <v>200</v>
      </c>
      <c r="D102" s="335"/>
      <c r="E102" s="89"/>
      <c r="F102" s="89"/>
      <c r="G102" s="89"/>
      <c r="H102" s="90">
        <f>H101</f>
        <v>10862.39</v>
      </c>
      <c r="I102" s="81"/>
    </row>
    <row r="103" spans="1:9" s="104" customFormat="1" ht="15.95" customHeight="1">
      <c r="A103" s="80"/>
      <c r="B103" s="81"/>
      <c r="C103" s="335" t="s">
        <v>201</v>
      </c>
      <c r="D103" s="335"/>
      <c r="E103" s="89"/>
      <c r="F103" s="89"/>
      <c r="G103" s="89"/>
      <c r="H103" s="90">
        <v>12</v>
      </c>
      <c r="I103" s="81"/>
    </row>
    <row r="104" spans="1:9" s="104" customFormat="1" ht="15.95" customHeight="1">
      <c r="A104" s="80"/>
      <c r="B104" s="81"/>
      <c r="C104" s="335" t="s">
        <v>202</v>
      </c>
      <c r="D104" s="335"/>
      <c r="E104" s="89"/>
      <c r="F104" s="89"/>
      <c r="G104" s="89"/>
      <c r="H104" s="90">
        <v>1.32</v>
      </c>
      <c r="I104" s="81"/>
    </row>
    <row r="105" spans="1:9" s="104" customFormat="1" ht="15.95" customHeight="1">
      <c r="A105" s="80"/>
      <c r="B105" s="81"/>
      <c r="C105" s="335" t="s">
        <v>203</v>
      </c>
      <c r="D105" s="335"/>
      <c r="E105" s="89"/>
      <c r="F105" s="89"/>
      <c r="G105" s="89"/>
      <c r="H105" s="91">
        <f>ROUND(H102/H104,2)</f>
        <v>8229.08</v>
      </c>
      <c r="I105" s="81"/>
    </row>
    <row r="106" spans="1:9" s="104" customFormat="1" ht="15.95" customHeight="1">
      <c r="A106" s="80"/>
      <c r="B106" s="81"/>
      <c r="C106" s="334" t="s">
        <v>204</v>
      </c>
      <c r="D106" s="334"/>
      <c r="E106" s="89"/>
      <c r="F106" s="89"/>
      <c r="G106" s="89"/>
      <c r="H106" s="91">
        <f>ROUND((H105/0.05),0)*0.05</f>
        <v>8229.1</v>
      </c>
      <c r="I106" s="92" t="s">
        <v>110</v>
      </c>
    </row>
    <row r="107" spans="1:9" s="104" customFormat="1" ht="15.95" customHeight="1">
      <c r="A107" s="80"/>
      <c r="B107" s="81"/>
      <c r="C107" s="81"/>
      <c r="D107" s="86"/>
      <c r="E107" s="86"/>
      <c r="F107" s="86"/>
      <c r="G107" s="86"/>
      <c r="H107" s="87"/>
      <c r="I107" s="81"/>
    </row>
    <row r="108" spans="1:9" s="104" customFormat="1" ht="15.95" customHeight="1">
      <c r="A108" s="80"/>
      <c r="B108" s="93" t="s">
        <v>77</v>
      </c>
      <c r="C108" s="93"/>
      <c r="D108" s="93"/>
      <c r="E108" s="93"/>
      <c r="F108" s="93"/>
      <c r="G108" s="93"/>
      <c r="H108" s="94">
        <f>0.1*H106</f>
        <v>822.91000000000008</v>
      </c>
      <c r="I108" s="92" t="s">
        <v>110</v>
      </c>
    </row>
    <row r="109" spans="1:9" s="104" customFormat="1" ht="15.95" customHeight="1">
      <c r="A109" s="80"/>
      <c r="B109" s="93" t="s">
        <v>78</v>
      </c>
      <c r="C109" s="93"/>
      <c r="D109" s="93"/>
      <c r="E109" s="93"/>
      <c r="F109" s="93"/>
      <c r="G109" s="93"/>
      <c r="H109" s="94">
        <f>0.01*H106</f>
        <v>82.291000000000011</v>
      </c>
      <c r="I109" s="92" t="s">
        <v>110</v>
      </c>
    </row>
    <row r="110" spans="1:9" s="104" customFormat="1" ht="15.95" customHeight="1">
      <c r="A110" s="80"/>
      <c r="B110" s="93" t="s">
        <v>79</v>
      </c>
      <c r="C110" s="93"/>
      <c r="D110" s="93"/>
      <c r="E110" s="93"/>
      <c r="F110" s="93"/>
      <c r="G110" s="93"/>
      <c r="H110" s="95">
        <f>SUM(H106:H109)</f>
        <v>9134.3009999999995</v>
      </c>
      <c r="I110" s="92" t="s">
        <v>110</v>
      </c>
    </row>
    <row r="111" spans="1:9" s="104" customFormat="1" ht="15.95" customHeight="1">
      <c r="A111" s="80"/>
      <c r="B111" s="96"/>
      <c r="C111" s="96"/>
      <c r="D111" s="97" t="s">
        <v>80</v>
      </c>
      <c r="E111" s="98">
        <f>ROUND((H110/0.05),0)*0.05</f>
        <v>9134.3000000000011</v>
      </c>
      <c r="F111" s="99" t="s">
        <v>86</v>
      </c>
      <c r="G111" s="96"/>
      <c r="H111" s="96"/>
      <c r="I111" s="96"/>
    </row>
    <row r="112" spans="1:9" ht="15.95" customHeight="1">
      <c r="A112" s="79"/>
      <c r="B112" s="93"/>
      <c r="C112" s="93"/>
      <c r="D112" s="93"/>
      <c r="E112" s="93"/>
      <c r="F112" s="93"/>
      <c r="G112" s="93"/>
      <c r="H112" s="113"/>
      <c r="I112" s="107"/>
    </row>
    <row r="113" spans="1:9" s="93" customFormat="1" ht="15.95" customHeight="1">
      <c r="A113" s="108" t="s">
        <v>132</v>
      </c>
      <c r="B113" s="96"/>
      <c r="C113" s="96"/>
      <c r="D113" s="97"/>
      <c r="E113" s="98"/>
      <c r="F113" s="99"/>
      <c r="G113" s="96"/>
      <c r="H113" s="96"/>
      <c r="I113" s="96"/>
    </row>
    <row r="114" spans="1:9" s="93" customFormat="1" ht="15.95" customHeight="1">
      <c r="A114" s="108"/>
      <c r="B114" s="96"/>
      <c r="C114" s="96"/>
      <c r="D114" s="97"/>
      <c r="E114" s="98"/>
      <c r="F114" s="99"/>
      <c r="G114" s="96"/>
      <c r="H114" s="96"/>
      <c r="I114" s="96"/>
    </row>
    <row r="115" spans="1:9" s="93" customFormat="1" ht="15.95" customHeight="1">
      <c r="A115" s="108"/>
      <c r="B115" s="96"/>
      <c r="C115" s="96"/>
      <c r="D115" s="97"/>
      <c r="E115" s="98"/>
      <c r="F115" s="99"/>
      <c r="G115" s="96"/>
      <c r="H115" s="96"/>
      <c r="I115" s="96"/>
    </row>
    <row r="116" spans="1:9" s="93" customFormat="1" ht="15.95" customHeight="1">
      <c r="A116" s="108"/>
      <c r="B116" s="96"/>
      <c r="C116" s="96"/>
      <c r="D116" s="97"/>
      <c r="E116" s="98"/>
      <c r="F116" s="99"/>
      <c r="G116" s="96"/>
      <c r="H116" s="96"/>
      <c r="I116" s="96"/>
    </row>
    <row r="117" spans="1:9" s="93" customFormat="1" ht="15.95" customHeight="1">
      <c r="A117" s="108"/>
      <c r="B117" s="96"/>
      <c r="C117" s="96"/>
      <c r="D117" s="331" t="s">
        <v>134</v>
      </c>
      <c r="E117" s="331"/>
      <c r="F117" s="331"/>
      <c r="G117" s="331" t="s">
        <v>135</v>
      </c>
      <c r="H117" s="331"/>
      <c r="I117" s="331"/>
    </row>
    <row r="118" spans="1:9" s="93" customFormat="1" ht="15.95" customHeight="1">
      <c r="A118" s="108"/>
      <c r="B118" s="96"/>
      <c r="C118" s="96"/>
      <c r="D118" s="333" t="s">
        <v>239</v>
      </c>
      <c r="E118" s="333"/>
      <c r="F118" s="333"/>
      <c r="G118" s="332" t="s">
        <v>241</v>
      </c>
      <c r="H118" s="332"/>
      <c r="I118" s="332"/>
    </row>
    <row r="119" spans="1:9" s="93" customFormat="1" ht="15.95" customHeight="1">
      <c r="A119" s="108" t="s">
        <v>222</v>
      </c>
      <c r="B119" s="96"/>
      <c r="C119" s="96"/>
      <c r="D119" s="333" t="s">
        <v>240</v>
      </c>
      <c r="E119" s="333"/>
      <c r="F119" s="333"/>
      <c r="G119" s="332" t="s">
        <v>242</v>
      </c>
      <c r="H119" s="332"/>
      <c r="I119" s="332"/>
    </row>
    <row r="120" spans="1:9" s="93" customFormat="1" ht="15.95" customHeight="1">
      <c r="A120" s="108"/>
      <c r="B120" s="181"/>
      <c r="C120" s="181"/>
      <c r="D120" s="181"/>
      <c r="E120" s="181"/>
      <c r="F120" s="181"/>
      <c r="G120" s="181"/>
      <c r="H120" s="181"/>
      <c r="I120" s="181"/>
    </row>
    <row r="121" spans="1:9" s="93" customFormat="1" ht="15.95" customHeight="1">
      <c r="A121" s="108"/>
      <c r="B121" s="181"/>
      <c r="C121" s="181"/>
      <c r="D121" s="181"/>
      <c r="E121" s="181"/>
      <c r="F121" s="181"/>
      <c r="G121" s="181"/>
      <c r="H121" s="181"/>
      <c r="I121" s="181"/>
    </row>
    <row r="122" spans="1:9" ht="15.95" customHeight="1">
      <c r="A122" s="336"/>
      <c r="B122" s="336"/>
      <c r="C122" s="336"/>
      <c r="D122" s="109"/>
      <c r="E122" s="110"/>
      <c r="F122" s="110"/>
      <c r="G122" s="111"/>
      <c r="H122" s="110"/>
      <c r="I122" s="112"/>
    </row>
    <row r="123" spans="1:9" ht="120.75" customHeight="1">
      <c r="A123" s="79" t="s">
        <v>60</v>
      </c>
      <c r="B123" s="329" t="str">
        <f>abst!C8</f>
        <v>Carrying out line survey with digital state of art Total Station for fixing FRL/ HFL including C/s survey with levels at 20 m interval /survey for 'L' section of alternative Dam site OR 'L' section of river 1 Km u/s OR 1 Km D/s of alternative Dam site etc complete including station, including transfer of entire data to computer system in different georeferential layer /the mesusing features of standard plotting Softwares compatible with canal irrigation system design Softwares packages including contour plotting at specified interval and scale. The test print of the drawing shall be approved by Engineer -in- charge and the same shall be delivered in a CD format as well as hard copy in six numbers including one print on tracing paper as directed.</v>
      </c>
      <c r="C123" s="329"/>
      <c r="D123" s="329"/>
      <c r="E123" s="329"/>
      <c r="F123" s="329"/>
      <c r="G123" s="329"/>
      <c r="H123" s="329"/>
      <c r="I123" s="329"/>
    </row>
    <row r="124" spans="1:9" ht="15.95" customHeight="1">
      <c r="A124" s="79"/>
      <c r="B124" s="330" t="s">
        <v>213</v>
      </c>
      <c r="C124" s="330"/>
      <c r="D124" s="330"/>
      <c r="E124" s="330"/>
      <c r="F124" s="330"/>
      <c r="G124" s="105"/>
      <c r="H124" s="85">
        <v>774.3</v>
      </c>
      <c r="I124" s="92" t="s">
        <v>84</v>
      </c>
    </row>
    <row r="125" spans="1:9" s="93" customFormat="1" ht="15.95" customHeight="1">
      <c r="B125" s="93" t="s">
        <v>77</v>
      </c>
      <c r="H125" s="94">
        <f>0.1*H124</f>
        <v>77.430000000000007</v>
      </c>
      <c r="I125" s="92" t="s">
        <v>84</v>
      </c>
    </row>
    <row r="126" spans="1:9" s="93" customFormat="1" ht="15.95" customHeight="1">
      <c r="B126" s="93" t="s">
        <v>78</v>
      </c>
      <c r="H126" s="94">
        <f>0.01*H124</f>
        <v>7.7429999999999994</v>
      </c>
      <c r="I126" s="92" t="s">
        <v>84</v>
      </c>
    </row>
    <row r="127" spans="1:9" s="93" customFormat="1" ht="15.95" customHeight="1">
      <c r="B127" s="93" t="s">
        <v>79</v>
      </c>
      <c r="H127" s="95">
        <f>SUM(H124:H126)</f>
        <v>859.47300000000007</v>
      </c>
      <c r="I127" s="92" t="s">
        <v>84</v>
      </c>
    </row>
    <row r="128" spans="1:9" s="93" customFormat="1" ht="15.95" customHeight="1">
      <c r="A128" s="108"/>
      <c r="B128" s="96"/>
      <c r="C128" s="96"/>
      <c r="D128" s="97" t="s">
        <v>80</v>
      </c>
      <c r="E128" s="98">
        <f>ROUND((H127/0.05),0)*0.05</f>
        <v>859.45</v>
      </c>
      <c r="F128" s="99" t="s">
        <v>85</v>
      </c>
      <c r="G128" s="96"/>
      <c r="H128" s="96"/>
      <c r="I128" s="96"/>
    </row>
    <row r="129" spans="1:9" s="93" customFormat="1" ht="15.95" customHeight="1">
      <c r="A129" s="108" t="s">
        <v>132</v>
      </c>
      <c r="B129" s="96"/>
      <c r="C129" s="96"/>
      <c r="D129" s="97"/>
      <c r="E129" s="98"/>
      <c r="F129" s="99"/>
      <c r="G129" s="96"/>
      <c r="H129" s="96"/>
      <c r="I129" s="96"/>
    </row>
    <row r="130" spans="1:9" s="93" customFormat="1" ht="15.95" customHeight="1">
      <c r="A130" s="108"/>
      <c r="B130" s="96"/>
      <c r="C130" s="96"/>
      <c r="D130" s="97"/>
      <c r="E130" s="98"/>
      <c r="F130" s="99"/>
      <c r="G130" s="96"/>
      <c r="H130" s="96"/>
      <c r="I130" s="96"/>
    </row>
    <row r="131" spans="1:9" s="93" customFormat="1" ht="15.95" customHeight="1">
      <c r="A131" s="108"/>
      <c r="B131" s="96"/>
      <c r="C131" s="96"/>
      <c r="D131" s="97"/>
      <c r="E131" s="98"/>
      <c r="F131" s="99"/>
      <c r="G131" s="96"/>
      <c r="H131" s="96"/>
      <c r="I131" s="96"/>
    </row>
    <row r="132" spans="1:9" s="93" customFormat="1" ht="15.95" customHeight="1">
      <c r="A132" s="108"/>
      <c r="B132" s="96"/>
      <c r="C132" s="96"/>
      <c r="D132" s="97"/>
      <c r="E132" s="98"/>
      <c r="F132" s="99"/>
      <c r="G132" s="96"/>
      <c r="H132" s="96"/>
      <c r="I132" s="96"/>
    </row>
    <row r="133" spans="1:9" s="93" customFormat="1" ht="15.95" customHeight="1">
      <c r="A133" s="108"/>
      <c r="B133" s="96"/>
      <c r="C133" s="96"/>
      <c r="D133" s="331" t="s">
        <v>134</v>
      </c>
      <c r="E133" s="331"/>
      <c r="F133" s="331"/>
      <c r="G133" s="331" t="s">
        <v>135</v>
      </c>
      <c r="H133" s="331"/>
      <c r="I133" s="331"/>
    </row>
    <row r="134" spans="1:9" s="93" customFormat="1" ht="15.95" customHeight="1">
      <c r="A134" s="108"/>
      <c r="B134" s="96"/>
      <c r="C134" s="96"/>
      <c r="D134" s="333" t="s">
        <v>239</v>
      </c>
      <c r="E134" s="333"/>
      <c r="F134" s="333"/>
      <c r="G134" s="332" t="s">
        <v>241</v>
      </c>
      <c r="H134" s="332"/>
      <c r="I134" s="332"/>
    </row>
    <row r="135" spans="1:9" s="93" customFormat="1" ht="15.95" customHeight="1">
      <c r="A135" s="108" t="s">
        <v>222</v>
      </c>
      <c r="B135" s="96"/>
      <c r="C135" s="96"/>
      <c r="D135" s="333" t="s">
        <v>240</v>
      </c>
      <c r="E135" s="333"/>
      <c r="F135" s="333"/>
      <c r="G135" s="332" t="s">
        <v>242</v>
      </c>
      <c r="H135" s="332"/>
      <c r="I135" s="332"/>
    </row>
    <row r="136" spans="1:9" s="93" customFormat="1" ht="15.95" customHeight="1">
      <c r="A136" s="108"/>
      <c r="B136" s="96"/>
      <c r="C136" s="96"/>
      <c r="D136" s="97"/>
      <c r="E136" s="98"/>
      <c r="F136" s="99"/>
      <c r="G136" s="96"/>
      <c r="H136" s="96"/>
      <c r="I136" s="96"/>
    </row>
    <row r="137" spans="1:9" ht="69.599999999999994" customHeight="1">
      <c r="A137" s="79" t="s">
        <v>76</v>
      </c>
      <c r="B137" s="329" t="str">
        <f>abst!C9</f>
        <v>Providing permanent bench mark dressed stone of basalt, granite or gneiss of size 30CmX30CmX45Cm at least 15Cm below the ground and embedding it to a depth of 30Cm in grade M-15 in situ concrete of size 90CmX90CmX60Cm deep over 1M deep foundation concrete of grade M-10 including excavation, concrete, providing and fixing dressed stone and backfilling the pit up to ground level with sand etc complete. with all lifts as directed.</v>
      </c>
      <c r="C137" s="329"/>
      <c r="D137" s="329"/>
      <c r="E137" s="329"/>
      <c r="F137" s="329"/>
      <c r="G137" s="329"/>
      <c r="H137" s="329"/>
      <c r="I137" s="329"/>
    </row>
    <row r="138" spans="1:9" ht="15.95" customHeight="1">
      <c r="A138" s="79"/>
      <c r="B138" s="330" t="s">
        <v>214</v>
      </c>
      <c r="C138" s="330"/>
      <c r="D138" s="330"/>
      <c r="E138" s="330"/>
      <c r="F138" s="330"/>
      <c r="G138" s="105"/>
      <c r="H138" s="85">
        <v>5914.8</v>
      </c>
      <c r="I138" s="92" t="s">
        <v>107</v>
      </c>
    </row>
    <row r="139" spans="1:9" s="93" customFormat="1" ht="15.95" customHeight="1">
      <c r="B139" s="93" t="s">
        <v>77</v>
      </c>
      <c r="H139" s="94">
        <f>0.1*H138</f>
        <v>591.48</v>
      </c>
      <c r="I139" s="92" t="str">
        <f>I138</f>
        <v xml:space="preserve"> /no</v>
      </c>
    </row>
    <row r="140" spans="1:9" s="93" customFormat="1" ht="15.95" customHeight="1">
      <c r="B140" s="93" t="s">
        <v>78</v>
      </c>
      <c r="H140" s="94">
        <f>0.01*H138</f>
        <v>59.148000000000003</v>
      </c>
      <c r="I140" s="92" t="str">
        <f>I139</f>
        <v xml:space="preserve"> /no</v>
      </c>
    </row>
    <row r="141" spans="1:9" s="93" customFormat="1" ht="15.95" customHeight="1">
      <c r="B141" s="93" t="s">
        <v>79</v>
      </c>
      <c r="H141" s="95">
        <f>SUM(H138:H140)</f>
        <v>6565.4280000000008</v>
      </c>
      <c r="I141" s="92" t="str">
        <f>I140</f>
        <v xml:space="preserve"> /no</v>
      </c>
    </row>
    <row r="142" spans="1:9" s="93" customFormat="1" ht="15.95" customHeight="1">
      <c r="A142" s="108"/>
      <c r="B142" s="96"/>
      <c r="C142" s="96"/>
      <c r="D142" s="97" t="s">
        <v>80</v>
      </c>
      <c r="E142" s="98">
        <f>ROUND((H141/0.05),0)*0.05</f>
        <v>6565.4500000000007</v>
      </c>
      <c r="F142" s="99" t="s">
        <v>108</v>
      </c>
      <c r="G142" s="96"/>
      <c r="H142" s="96"/>
      <c r="I142" s="96"/>
    </row>
    <row r="143" spans="1:9" s="93" customFormat="1" ht="15.95" customHeight="1">
      <c r="A143" s="108" t="s">
        <v>132</v>
      </c>
      <c r="B143" s="96"/>
      <c r="C143" s="96"/>
      <c r="D143" s="97"/>
      <c r="E143" s="98"/>
      <c r="F143" s="99"/>
      <c r="G143" s="96"/>
      <c r="H143" s="96"/>
      <c r="I143" s="96"/>
    </row>
    <row r="144" spans="1:9" s="93" customFormat="1" ht="15.95" customHeight="1">
      <c r="A144" s="108"/>
      <c r="B144" s="96"/>
      <c r="C144" s="96"/>
      <c r="D144" s="97"/>
      <c r="E144" s="98"/>
      <c r="F144" s="99"/>
      <c r="G144" s="96"/>
      <c r="H144" s="96"/>
      <c r="I144" s="96"/>
    </row>
    <row r="145" spans="1:9" s="93" customFormat="1" ht="15.95" customHeight="1">
      <c r="A145" s="108"/>
      <c r="B145" s="96"/>
      <c r="C145" s="96"/>
      <c r="D145" s="97"/>
      <c r="E145" s="98"/>
      <c r="F145" s="99"/>
      <c r="G145" s="96"/>
      <c r="H145" s="96"/>
      <c r="I145" s="96"/>
    </row>
    <row r="146" spans="1:9" s="93" customFormat="1" ht="15.95" customHeight="1">
      <c r="A146" s="108"/>
      <c r="B146" s="96"/>
      <c r="C146" s="96"/>
      <c r="D146" s="97"/>
      <c r="E146" s="98"/>
      <c r="F146" s="99"/>
      <c r="G146" s="96"/>
      <c r="H146" s="96"/>
      <c r="I146" s="96"/>
    </row>
    <row r="147" spans="1:9" s="93" customFormat="1" ht="15.95" customHeight="1">
      <c r="A147" s="108"/>
      <c r="B147" s="96"/>
      <c r="C147" s="96"/>
      <c r="D147" s="331" t="s">
        <v>134</v>
      </c>
      <c r="E147" s="331"/>
      <c r="F147" s="331"/>
      <c r="G147" s="331" t="s">
        <v>135</v>
      </c>
      <c r="H147" s="331"/>
      <c r="I147" s="331"/>
    </row>
    <row r="148" spans="1:9" s="93" customFormat="1" ht="15.95" customHeight="1">
      <c r="A148" s="108"/>
      <c r="B148" s="96"/>
      <c r="C148" s="96"/>
      <c r="D148" s="333" t="s">
        <v>239</v>
      </c>
      <c r="E148" s="333"/>
      <c r="F148" s="333"/>
      <c r="G148" s="332" t="s">
        <v>241</v>
      </c>
      <c r="H148" s="332"/>
      <c r="I148" s="332"/>
    </row>
    <row r="149" spans="1:9" s="93" customFormat="1" ht="15.95" customHeight="1">
      <c r="A149" s="108" t="s">
        <v>222</v>
      </c>
      <c r="B149" s="96"/>
      <c r="C149" s="96"/>
      <c r="D149" s="333" t="s">
        <v>240</v>
      </c>
      <c r="E149" s="333"/>
      <c r="F149" s="333"/>
      <c r="G149" s="332" t="s">
        <v>242</v>
      </c>
      <c r="H149" s="332"/>
      <c r="I149" s="332"/>
    </row>
    <row r="150" spans="1:9" s="93" customFormat="1" ht="11.45" customHeight="1">
      <c r="A150" s="108"/>
      <c r="B150" s="96"/>
      <c r="C150" s="96"/>
      <c r="D150" s="97"/>
      <c r="E150" s="98"/>
      <c r="F150" s="99"/>
      <c r="G150" s="96"/>
      <c r="H150" s="96"/>
      <c r="I150" s="96"/>
    </row>
    <row r="151" spans="1:9" ht="96" customHeight="1">
      <c r="A151" s="79" t="s">
        <v>88</v>
      </c>
      <c r="B151" s="329" t="str">
        <f>abst!C10</f>
        <v>Taking trial bore for detailed investigation with NX diamond drill double tube in all sorts of soil like soft murum, hard murum and boulders including all materials such as casing pipes, accessories, grease, steel boolsam and other such materials and or as required including conveying such materials and machinery to site of works, preserving the loose samples in glass/plastic jar and core samples serially numbered at site of work and conveying the same to the head quarter of concerned office as directed and submission of detailed bore log sheet complete.(As directed by the Engineer in charge)</v>
      </c>
      <c r="C151" s="329"/>
      <c r="D151" s="329"/>
      <c r="E151" s="329"/>
      <c r="F151" s="329"/>
      <c r="G151" s="329"/>
      <c r="H151" s="329"/>
      <c r="I151" s="329"/>
    </row>
    <row r="152" spans="1:9" ht="15.95" customHeight="1">
      <c r="A152" s="114" t="s">
        <v>54</v>
      </c>
      <c r="B152" s="79" t="str">
        <f>abst!C11</f>
        <v>Overburden (Soil of all sort, soft murum, hard murum, boulder and soft rock)</v>
      </c>
      <c r="C152" s="79"/>
      <c r="D152" s="79"/>
      <c r="E152" s="100"/>
      <c r="F152" s="100"/>
      <c r="G152" s="100"/>
      <c r="H152" s="100"/>
      <c r="I152" s="100"/>
    </row>
    <row r="153" spans="1:9" ht="15.95" customHeight="1">
      <c r="A153" s="79"/>
      <c r="B153" s="330" t="s">
        <v>216</v>
      </c>
      <c r="C153" s="330"/>
      <c r="D153" s="330"/>
      <c r="E153" s="330"/>
      <c r="F153" s="330"/>
      <c r="G153" s="105"/>
      <c r="H153" s="85">
        <v>2110</v>
      </c>
      <c r="I153" s="92" t="s">
        <v>99</v>
      </c>
    </row>
    <row r="154" spans="1:9" s="93" customFormat="1" ht="15.95" customHeight="1">
      <c r="B154" s="93" t="s">
        <v>77</v>
      </c>
      <c r="H154" s="94">
        <f>0.1*H153</f>
        <v>211</v>
      </c>
      <c r="I154" s="92" t="str">
        <f>I153</f>
        <v xml:space="preserve"> /Rmt</v>
      </c>
    </row>
    <row r="155" spans="1:9" s="93" customFormat="1" ht="15.95" customHeight="1">
      <c r="B155" s="93" t="s">
        <v>78</v>
      </c>
      <c r="H155" s="94">
        <f>0.01*H153</f>
        <v>21.1</v>
      </c>
      <c r="I155" s="92" t="str">
        <f>I153</f>
        <v xml:space="preserve"> /Rmt</v>
      </c>
    </row>
    <row r="156" spans="1:9" s="93" customFormat="1" ht="15.95" customHeight="1">
      <c r="B156" s="93" t="s">
        <v>79</v>
      </c>
      <c r="H156" s="95">
        <f>SUM(H153:H155)</f>
        <v>2342.1</v>
      </c>
      <c r="I156" s="92" t="str">
        <f>I155</f>
        <v xml:space="preserve"> /Rmt</v>
      </c>
    </row>
    <row r="157" spans="1:9" s="93" customFormat="1" ht="15.95" customHeight="1">
      <c r="A157" s="108"/>
      <c r="B157" s="96"/>
      <c r="C157" s="96"/>
      <c r="D157" s="97" t="s">
        <v>80</v>
      </c>
      <c r="E157" s="98">
        <f>ROUND((H156/0.05),0)*0.05</f>
        <v>2342.1</v>
      </c>
      <c r="F157" s="99" t="s">
        <v>100</v>
      </c>
      <c r="G157" s="96"/>
      <c r="H157" s="96"/>
      <c r="I157" s="96"/>
    </row>
    <row r="158" spans="1:9" s="93" customFormat="1" ht="15.95" customHeight="1">
      <c r="A158" s="108"/>
      <c r="B158" s="96"/>
      <c r="C158" s="96"/>
      <c r="D158" s="97"/>
      <c r="E158" s="98"/>
      <c r="F158" s="99"/>
      <c r="G158" s="96"/>
      <c r="H158" s="96"/>
      <c r="I158" s="96"/>
    </row>
    <row r="159" spans="1:9" ht="15.95" customHeight="1">
      <c r="A159" s="114" t="s">
        <v>55</v>
      </c>
      <c r="B159" s="79" t="str">
        <f>abst!C12</f>
        <v>Hard rock</v>
      </c>
      <c r="C159" s="79"/>
      <c r="D159" s="79"/>
      <c r="E159" s="100"/>
      <c r="F159" s="100"/>
      <c r="G159" s="100"/>
      <c r="H159" s="100"/>
      <c r="I159" s="100"/>
    </row>
    <row r="160" spans="1:9" ht="15.95" customHeight="1">
      <c r="A160" s="79"/>
      <c r="B160" s="330" t="s">
        <v>215</v>
      </c>
      <c r="C160" s="330"/>
      <c r="D160" s="330"/>
      <c r="E160" s="330"/>
      <c r="F160" s="330"/>
      <c r="G160" s="105"/>
      <c r="H160" s="85">
        <v>3910</v>
      </c>
      <c r="I160" s="92" t="s">
        <v>99</v>
      </c>
    </row>
    <row r="161" spans="1:9" s="93" customFormat="1" ht="15.95" customHeight="1">
      <c r="B161" s="93" t="s">
        <v>77</v>
      </c>
      <c r="H161" s="94">
        <f>0.1*H160</f>
        <v>391</v>
      </c>
      <c r="I161" s="92" t="str">
        <f>I160</f>
        <v xml:space="preserve"> /Rmt</v>
      </c>
    </row>
    <row r="162" spans="1:9" s="93" customFormat="1" ht="15.95" customHeight="1">
      <c r="B162" s="93" t="s">
        <v>78</v>
      </c>
      <c r="H162" s="94">
        <f>0.01*H160</f>
        <v>39.1</v>
      </c>
      <c r="I162" s="92" t="str">
        <f>I161</f>
        <v xml:space="preserve"> /Rmt</v>
      </c>
    </row>
    <row r="163" spans="1:9" s="93" customFormat="1" ht="15.95" customHeight="1">
      <c r="B163" s="93" t="s">
        <v>79</v>
      </c>
      <c r="H163" s="95">
        <f>SUM(H160:H162)</f>
        <v>4340.1000000000004</v>
      </c>
      <c r="I163" s="92" t="str">
        <f>I162</f>
        <v xml:space="preserve"> /Rmt</v>
      </c>
    </row>
    <row r="164" spans="1:9" s="93" customFormat="1" ht="15.95" customHeight="1">
      <c r="A164" s="108"/>
      <c r="B164" s="96"/>
      <c r="C164" s="96"/>
      <c r="D164" s="97" t="s">
        <v>80</v>
      </c>
      <c r="E164" s="98">
        <f>ROUND((H163/0.05),0)*0.05</f>
        <v>4340.1000000000004</v>
      </c>
      <c r="F164" s="99" t="s">
        <v>100</v>
      </c>
      <c r="G164" s="96"/>
      <c r="H164" s="96"/>
      <c r="I164" s="96"/>
    </row>
    <row r="165" spans="1:9" s="93" customFormat="1" ht="15.95" customHeight="1">
      <c r="A165" s="108" t="s">
        <v>132</v>
      </c>
      <c r="B165" s="96"/>
      <c r="C165" s="96"/>
      <c r="D165" s="97"/>
      <c r="E165" s="98"/>
      <c r="F165" s="99"/>
      <c r="G165" s="96"/>
      <c r="H165" s="96"/>
      <c r="I165" s="96"/>
    </row>
    <row r="166" spans="1:9" s="93" customFormat="1" ht="15.95" customHeight="1">
      <c r="A166" s="108"/>
      <c r="B166" s="96"/>
      <c r="C166" s="96"/>
      <c r="D166" s="97"/>
      <c r="E166" s="98"/>
      <c r="F166" s="99"/>
      <c r="G166" s="96"/>
      <c r="H166" s="96"/>
      <c r="I166" s="96"/>
    </row>
    <row r="167" spans="1:9" s="93" customFormat="1" ht="15.95" customHeight="1">
      <c r="A167" s="108"/>
      <c r="B167" s="96"/>
      <c r="C167" s="96"/>
      <c r="D167" s="97"/>
      <c r="E167" s="98"/>
      <c r="F167" s="99"/>
      <c r="G167" s="96"/>
      <c r="H167" s="96"/>
      <c r="I167" s="96"/>
    </row>
    <row r="168" spans="1:9" s="93" customFormat="1" ht="15.95" customHeight="1">
      <c r="A168" s="108"/>
      <c r="B168" s="96"/>
      <c r="C168" s="96"/>
      <c r="D168" s="97"/>
      <c r="E168" s="98"/>
      <c r="F168" s="99"/>
      <c r="G168" s="96"/>
      <c r="H168" s="96"/>
      <c r="I168" s="96"/>
    </row>
    <row r="169" spans="1:9" s="93" customFormat="1" ht="15.95" customHeight="1">
      <c r="A169" s="108"/>
      <c r="B169" s="96"/>
      <c r="C169" s="96"/>
      <c r="D169" s="331" t="s">
        <v>134</v>
      </c>
      <c r="E169" s="331"/>
      <c r="F169" s="331"/>
      <c r="G169" s="331" t="s">
        <v>135</v>
      </c>
      <c r="H169" s="331"/>
      <c r="I169" s="331"/>
    </row>
    <row r="170" spans="1:9" s="93" customFormat="1" ht="15.95" customHeight="1">
      <c r="A170" s="108"/>
      <c r="B170" s="96"/>
      <c r="C170" s="96"/>
      <c r="D170" s="333" t="s">
        <v>239</v>
      </c>
      <c r="E170" s="333"/>
      <c r="F170" s="333"/>
      <c r="G170" s="332" t="s">
        <v>241</v>
      </c>
      <c r="H170" s="332"/>
      <c r="I170" s="332"/>
    </row>
    <row r="171" spans="1:9" s="93" customFormat="1" ht="15.95" customHeight="1">
      <c r="A171" s="108" t="s">
        <v>222</v>
      </c>
      <c r="B171" s="96"/>
      <c r="C171" s="96"/>
      <c r="D171" s="333" t="s">
        <v>240</v>
      </c>
      <c r="E171" s="333"/>
      <c r="F171" s="333"/>
      <c r="G171" s="332" t="s">
        <v>242</v>
      </c>
      <c r="H171" s="332"/>
      <c r="I171" s="332"/>
    </row>
    <row r="172" spans="1:9" s="93" customFormat="1" ht="15.95" customHeight="1">
      <c r="A172" s="108"/>
      <c r="B172" s="96"/>
      <c r="C172" s="96"/>
      <c r="D172" s="97"/>
      <c r="E172" s="98"/>
      <c r="F172" s="99"/>
      <c r="G172" s="96"/>
      <c r="H172" s="96"/>
      <c r="I172" s="96"/>
    </row>
    <row r="173" spans="1:9" ht="32.450000000000003" customHeight="1">
      <c r="A173" s="79" t="s">
        <v>89</v>
      </c>
      <c r="B173" s="329" t="str">
        <f>abst!C13</f>
        <v>Providing core box of MS of size size 1.25mx0.35mx0.15m for preserving core sample with all fixtures and fastening handles including locking arrangement etc. complete.</v>
      </c>
      <c r="C173" s="329"/>
      <c r="D173" s="329"/>
      <c r="E173" s="329"/>
      <c r="F173" s="329"/>
      <c r="G173" s="329"/>
      <c r="H173" s="329"/>
      <c r="I173" s="329"/>
    </row>
    <row r="174" spans="1:9" ht="15.95" customHeight="1">
      <c r="A174" s="79"/>
      <c r="B174" s="330" t="s">
        <v>217</v>
      </c>
      <c r="C174" s="330"/>
      <c r="D174" s="330"/>
      <c r="E174" s="330"/>
      <c r="F174" s="330"/>
      <c r="G174" s="105"/>
      <c r="H174" s="85">
        <v>2529.9</v>
      </c>
      <c r="I174" s="92" t="s">
        <v>92</v>
      </c>
    </row>
    <row r="175" spans="1:9" s="93" customFormat="1" ht="15.95" customHeight="1">
      <c r="B175" s="93" t="s">
        <v>77</v>
      </c>
      <c r="H175" s="94">
        <f>0.1*H174</f>
        <v>252.99</v>
      </c>
      <c r="I175" s="92" t="str">
        <f>I174</f>
        <v xml:space="preserve"> /No.</v>
      </c>
    </row>
    <row r="176" spans="1:9" s="93" customFormat="1" ht="15.95" customHeight="1">
      <c r="B176" s="93" t="s">
        <v>78</v>
      </c>
      <c r="H176" s="94">
        <f>0.01*H174</f>
        <v>25.299000000000003</v>
      </c>
      <c r="I176" s="92" t="str">
        <f>I175</f>
        <v xml:space="preserve"> /No.</v>
      </c>
    </row>
    <row r="177" spans="1:9" s="93" customFormat="1" ht="15.95" customHeight="1">
      <c r="B177" s="93" t="s">
        <v>79</v>
      </c>
      <c r="H177" s="95">
        <f>SUM(H174:H176)</f>
        <v>2808.1890000000003</v>
      </c>
      <c r="I177" s="92" t="str">
        <f>I176</f>
        <v xml:space="preserve"> /No.</v>
      </c>
    </row>
    <row r="178" spans="1:9" s="93" customFormat="1" ht="15.95" customHeight="1">
      <c r="A178" s="108"/>
      <c r="B178" s="96"/>
      <c r="C178" s="96"/>
      <c r="D178" s="97" t="s">
        <v>80</v>
      </c>
      <c r="E178" s="98">
        <f>ROUND((H177/0.05),0)*0.05</f>
        <v>2808.2000000000003</v>
      </c>
      <c r="F178" s="99" t="s">
        <v>91</v>
      </c>
      <c r="G178" s="96"/>
      <c r="H178" s="96"/>
      <c r="I178" s="96"/>
    </row>
    <row r="179" spans="1:9" s="93" customFormat="1" ht="15.95" customHeight="1">
      <c r="A179" s="108" t="s">
        <v>132</v>
      </c>
      <c r="B179" s="96"/>
      <c r="C179" s="96"/>
      <c r="D179" s="97"/>
      <c r="E179" s="98"/>
      <c r="F179" s="99"/>
      <c r="G179" s="96"/>
      <c r="H179" s="96"/>
      <c r="I179" s="96"/>
    </row>
    <row r="180" spans="1:9" s="93" customFormat="1" ht="15.95" customHeight="1">
      <c r="A180" s="108"/>
      <c r="B180" s="96"/>
      <c r="C180" s="96"/>
      <c r="D180" s="97"/>
      <c r="E180" s="98"/>
      <c r="F180" s="99"/>
      <c r="G180" s="96"/>
      <c r="H180" s="96"/>
      <c r="I180" s="96"/>
    </row>
    <row r="181" spans="1:9" s="93" customFormat="1" ht="15.95" customHeight="1">
      <c r="A181" s="108"/>
      <c r="B181" s="181"/>
      <c r="C181" s="181"/>
      <c r="D181" s="97"/>
      <c r="E181" s="98"/>
      <c r="F181" s="99"/>
      <c r="G181" s="181"/>
      <c r="H181" s="181"/>
      <c r="I181" s="181"/>
    </row>
    <row r="182" spans="1:9" s="93" customFormat="1" ht="15.95" customHeight="1">
      <c r="A182" s="108"/>
      <c r="B182" s="181"/>
      <c r="C182" s="181"/>
      <c r="D182" s="97"/>
      <c r="E182" s="98"/>
      <c r="F182" s="99"/>
      <c r="G182" s="181"/>
      <c r="H182" s="181"/>
      <c r="I182" s="181"/>
    </row>
    <row r="183" spans="1:9" s="93" customFormat="1" ht="15.95" customHeight="1">
      <c r="A183" s="108"/>
      <c r="B183" s="96"/>
      <c r="C183" s="96"/>
      <c r="D183" s="97"/>
      <c r="E183" s="98"/>
      <c r="F183" s="99"/>
      <c r="G183" s="96"/>
      <c r="H183" s="96"/>
      <c r="I183" s="96"/>
    </row>
    <row r="184" spans="1:9" s="93" customFormat="1" ht="15.95" customHeight="1">
      <c r="A184" s="108"/>
      <c r="B184" s="96"/>
      <c r="C184" s="96"/>
      <c r="D184" s="97"/>
      <c r="E184" s="98"/>
      <c r="F184" s="99"/>
      <c r="G184" s="96"/>
      <c r="H184" s="96"/>
      <c r="I184" s="96"/>
    </row>
    <row r="185" spans="1:9" s="93" customFormat="1" ht="15.95" customHeight="1">
      <c r="A185" s="108"/>
      <c r="B185" s="96"/>
      <c r="C185" s="96"/>
      <c r="D185" s="331" t="s">
        <v>134</v>
      </c>
      <c r="E185" s="331"/>
      <c r="F185" s="331"/>
      <c r="G185" s="331" t="s">
        <v>135</v>
      </c>
      <c r="H185" s="331"/>
      <c r="I185" s="331"/>
    </row>
    <row r="186" spans="1:9" s="93" customFormat="1" ht="15.95" customHeight="1">
      <c r="A186" s="108"/>
      <c r="B186" s="96"/>
      <c r="C186" s="96"/>
      <c r="D186" s="333" t="s">
        <v>239</v>
      </c>
      <c r="E186" s="333"/>
      <c r="F186" s="333"/>
      <c r="G186" s="332" t="s">
        <v>241</v>
      </c>
      <c r="H186" s="332"/>
      <c r="I186" s="332"/>
    </row>
    <row r="187" spans="1:9" s="93" customFormat="1" ht="15.95" customHeight="1">
      <c r="A187" s="108" t="s">
        <v>222</v>
      </c>
      <c r="B187" s="96"/>
      <c r="C187" s="96"/>
      <c r="D187" s="333" t="s">
        <v>240</v>
      </c>
      <c r="E187" s="333"/>
      <c r="F187" s="333"/>
      <c r="G187" s="332" t="s">
        <v>242</v>
      </c>
      <c r="H187" s="332"/>
      <c r="I187" s="332"/>
    </row>
    <row r="188" spans="1:9" s="93" customFormat="1" ht="15.95" customHeight="1">
      <c r="A188" s="108"/>
      <c r="B188" s="181"/>
      <c r="C188" s="181"/>
      <c r="D188" s="181"/>
      <c r="E188" s="181"/>
      <c r="F188" s="181"/>
      <c r="G188" s="181"/>
      <c r="H188" s="181"/>
      <c r="I188" s="181"/>
    </row>
    <row r="189" spans="1:9" s="93" customFormat="1" ht="15.95" customHeight="1">
      <c r="A189" s="108"/>
      <c r="B189" s="96"/>
      <c r="C189" s="96"/>
      <c r="D189" s="97"/>
      <c r="E189" s="98"/>
      <c r="F189" s="99"/>
      <c r="G189" s="96"/>
      <c r="H189" s="96"/>
      <c r="I189" s="96"/>
    </row>
    <row r="190" spans="1:9" s="104" customFormat="1" ht="84.75" customHeight="1">
      <c r="A190" s="79" t="s">
        <v>90</v>
      </c>
      <c r="B190" s="337" t="str">
        <f>abst!C14</f>
        <v xml:space="preserve">Providing and maintaining temparory platform for erecting boring machine in river bed to the depth of standing water 2 m and above and of size 3.50 x 4.00 M by using 20 Nos. of M.S. empty barrels in M.S. frame made of M.S. angle size 50 x 50 x 5 mm with fabrication and over it in jungle wood planks platform of size 3.50 x 4.00 x 0.03 M size including supplying of nylon rope 24 mm dia. for anchoring platform include passage platform and engaging a labour etc. complete. 2 m and above.
</v>
      </c>
      <c r="C190" s="337"/>
      <c r="D190" s="337"/>
      <c r="E190" s="337"/>
      <c r="F190" s="337"/>
      <c r="G190" s="337"/>
      <c r="H190" s="337"/>
      <c r="I190" s="337"/>
    </row>
    <row r="191" spans="1:9" s="104" customFormat="1" ht="15.95" customHeight="1">
      <c r="A191" s="80"/>
      <c r="B191" s="330" t="s">
        <v>218</v>
      </c>
      <c r="C191" s="330"/>
      <c r="D191" s="330"/>
      <c r="E191" s="330"/>
      <c r="F191" s="330"/>
      <c r="G191" s="101"/>
      <c r="H191" s="85">
        <v>21810</v>
      </c>
      <c r="I191" s="92" t="s">
        <v>92</v>
      </c>
    </row>
    <row r="192" spans="1:9" s="93" customFormat="1" ht="15.95" customHeight="1">
      <c r="B192" s="93" t="s">
        <v>77</v>
      </c>
      <c r="H192" s="94">
        <f>0.1*H191</f>
        <v>2181</v>
      </c>
      <c r="I192" s="92" t="str">
        <f>I191</f>
        <v xml:space="preserve"> /No.</v>
      </c>
    </row>
    <row r="193" spans="1:9" s="93" customFormat="1" ht="15.95" customHeight="1">
      <c r="B193" s="93" t="s">
        <v>79</v>
      </c>
      <c r="H193" s="95">
        <f>SUM(H191+H192)</f>
        <v>23991</v>
      </c>
      <c r="I193" s="92" t="str">
        <f>I192</f>
        <v xml:space="preserve"> /No.</v>
      </c>
    </row>
    <row r="194" spans="1:9" s="93" customFormat="1" ht="15.95" customHeight="1">
      <c r="A194" s="108"/>
      <c r="B194" s="96"/>
      <c r="C194" s="96"/>
      <c r="D194" s="97" t="s">
        <v>80</v>
      </c>
      <c r="E194" s="98">
        <f>ROUND((H193/0.05),0)*0.05</f>
        <v>23991</v>
      </c>
      <c r="F194" s="99" t="s">
        <v>91</v>
      </c>
      <c r="G194" s="96"/>
      <c r="H194" s="96"/>
      <c r="I194" s="96"/>
    </row>
    <row r="195" spans="1:9" s="93" customFormat="1" ht="15.95" customHeight="1">
      <c r="A195" s="108" t="s">
        <v>132</v>
      </c>
      <c r="B195" s="96"/>
      <c r="C195" s="96"/>
      <c r="D195" s="97"/>
      <c r="E195" s="98"/>
      <c r="F195" s="99"/>
      <c r="G195" s="96"/>
      <c r="H195" s="96"/>
      <c r="I195" s="96"/>
    </row>
    <row r="196" spans="1:9" s="93" customFormat="1" ht="15.95" customHeight="1">
      <c r="A196" s="108"/>
      <c r="B196" s="96"/>
      <c r="C196" s="96"/>
      <c r="D196" s="97"/>
      <c r="E196" s="98"/>
      <c r="F196" s="99"/>
      <c r="G196" s="96"/>
      <c r="H196" s="96"/>
      <c r="I196" s="96"/>
    </row>
    <row r="197" spans="1:9" s="93" customFormat="1" ht="15.95" customHeight="1">
      <c r="A197" s="108"/>
      <c r="B197" s="96"/>
      <c r="C197" s="96"/>
      <c r="D197" s="97"/>
      <c r="E197" s="98"/>
      <c r="F197" s="99"/>
      <c r="G197" s="96"/>
      <c r="H197" s="96"/>
      <c r="I197" s="96"/>
    </row>
    <row r="198" spans="1:9" s="93" customFormat="1" ht="15.95" customHeight="1">
      <c r="A198" s="108"/>
      <c r="B198" s="96"/>
      <c r="C198" s="96"/>
      <c r="D198" s="97"/>
      <c r="E198" s="98"/>
      <c r="F198" s="99"/>
      <c r="G198" s="96"/>
      <c r="H198" s="96"/>
      <c r="I198" s="96"/>
    </row>
    <row r="199" spans="1:9" s="93" customFormat="1" ht="15.95" customHeight="1">
      <c r="A199" s="108"/>
      <c r="B199" s="96"/>
      <c r="C199" s="96"/>
      <c r="D199" s="331" t="s">
        <v>134</v>
      </c>
      <c r="E199" s="331"/>
      <c r="F199" s="331"/>
      <c r="G199" s="331" t="s">
        <v>135</v>
      </c>
      <c r="H199" s="331"/>
      <c r="I199" s="331"/>
    </row>
    <row r="200" spans="1:9" s="93" customFormat="1" ht="15.95" customHeight="1">
      <c r="A200" s="108"/>
      <c r="B200" s="96"/>
      <c r="C200" s="96"/>
      <c r="D200" s="333" t="s">
        <v>239</v>
      </c>
      <c r="E200" s="333"/>
      <c r="F200" s="333"/>
      <c r="G200" s="332" t="s">
        <v>241</v>
      </c>
      <c r="H200" s="332"/>
      <c r="I200" s="332"/>
    </row>
    <row r="201" spans="1:9" s="93" customFormat="1" ht="15.95" customHeight="1">
      <c r="A201" s="108" t="s">
        <v>133</v>
      </c>
      <c r="B201" s="96"/>
      <c r="C201" s="96"/>
      <c r="D201" s="333" t="s">
        <v>240</v>
      </c>
      <c r="E201" s="333"/>
      <c r="F201" s="333"/>
      <c r="G201" s="332" t="s">
        <v>242</v>
      </c>
      <c r="H201" s="332"/>
      <c r="I201" s="332"/>
    </row>
    <row r="202" spans="1:9" s="93" customFormat="1" ht="15.95" customHeight="1">
      <c r="A202" s="108"/>
      <c r="B202" s="96"/>
      <c r="C202" s="96"/>
      <c r="D202" s="97"/>
      <c r="E202" s="98"/>
      <c r="F202" s="99"/>
      <c r="G202" s="96"/>
      <c r="H202" s="96"/>
      <c r="I202" s="96"/>
    </row>
    <row r="203" spans="1:9" s="93" customFormat="1" ht="15.95" customHeight="1">
      <c r="A203" s="108"/>
      <c r="B203" s="96"/>
      <c r="C203" s="96"/>
      <c r="D203" s="97"/>
      <c r="E203" s="98"/>
      <c r="F203" s="99"/>
      <c r="G203" s="96"/>
      <c r="H203" s="96"/>
      <c r="I203" s="96"/>
    </row>
    <row r="204" spans="1:9" ht="30.6" customHeight="1">
      <c r="A204" s="79" t="s">
        <v>95</v>
      </c>
      <c r="B204" s="329" t="str">
        <f>abst!C15</f>
        <v>Shifting boring plant with all its components and reinstalling the same at the directed place including all its charges etc. complete.</v>
      </c>
      <c r="C204" s="329"/>
      <c r="D204" s="329"/>
      <c r="E204" s="329"/>
      <c r="F204" s="329"/>
      <c r="G204" s="329"/>
      <c r="H204" s="329"/>
      <c r="I204" s="329"/>
    </row>
    <row r="205" spans="1:9" ht="15.95" customHeight="1">
      <c r="B205" s="338" t="s">
        <v>122</v>
      </c>
      <c r="C205" s="338"/>
      <c r="D205" s="338"/>
      <c r="E205" s="338"/>
      <c r="F205" s="338"/>
      <c r="G205" s="105"/>
      <c r="H205" s="106">
        <v>9067</v>
      </c>
      <c r="I205" s="107" t="s">
        <v>92</v>
      </c>
    </row>
    <row r="206" spans="1:9" s="93" customFormat="1" ht="15.95" customHeight="1">
      <c r="B206" s="93" t="s">
        <v>77</v>
      </c>
      <c r="H206" s="94">
        <f>0.1*H205</f>
        <v>906.7</v>
      </c>
      <c r="I206" s="107" t="s">
        <v>92</v>
      </c>
    </row>
    <row r="207" spans="1:9" s="93" customFormat="1" ht="15.95" customHeight="1">
      <c r="B207" s="93" t="s">
        <v>79</v>
      </c>
      <c r="H207" s="95">
        <f>SUM(H205:H206)</f>
        <v>9973.7000000000007</v>
      </c>
      <c r="I207" s="107" t="s">
        <v>92</v>
      </c>
    </row>
    <row r="208" spans="1:9" s="93" customFormat="1" ht="15.95" customHeight="1">
      <c r="A208" s="108"/>
      <c r="B208" s="96"/>
      <c r="C208" s="96"/>
      <c r="D208" s="97" t="s">
        <v>80</v>
      </c>
      <c r="E208" s="98">
        <f>ROUND((H207/0.05),0)*0.05</f>
        <v>9973.7000000000007</v>
      </c>
      <c r="F208" s="99" t="s">
        <v>91</v>
      </c>
      <c r="G208" s="96"/>
      <c r="H208" s="96"/>
      <c r="I208" s="96"/>
    </row>
    <row r="209" spans="1:9" s="93" customFormat="1" ht="15.95" customHeight="1">
      <c r="A209" s="108" t="s">
        <v>132</v>
      </c>
      <c r="B209" s="96"/>
      <c r="C209" s="96"/>
      <c r="D209" s="97"/>
      <c r="E209" s="98"/>
      <c r="F209" s="99"/>
      <c r="G209" s="96"/>
      <c r="H209" s="96"/>
      <c r="I209" s="96"/>
    </row>
    <row r="210" spans="1:9" s="93" customFormat="1" ht="15.95" customHeight="1">
      <c r="A210" s="108"/>
      <c r="B210" s="96"/>
      <c r="C210" s="96"/>
      <c r="D210" s="97"/>
      <c r="E210" s="98"/>
      <c r="F210" s="99"/>
      <c r="G210" s="96"/>
      <c r="H210" s="96"/>
      <c r="I210" s="96"/>
    </row>
    <row r="211" spans="1:9" s="93" customFormat="1" ht="15.95" customHeight="1">
      <c r="A211" s="108"/>
      <c r="B211" s="181"/>
      <c r="C211" s="181"/>
      <c r="D211" s="97"/>
      <c r="E211" s="98"/>
      <c r="F211" s="99"/>
      <c r="G211" s="181"/>
      <c r="H211" s="181"/>
      <c r="I211" s="181"/>
    </row>
    <row r="212" spans="1:9" s="93" customFormat="1" ht="15.95" customHeight="1">
      <c r="A212" s="108"/>
      <c r="B212" s="181"/>
      <c r="C212" s="181"/>
      <c r="D212" s="97"/>
      <c r="E212" s="98"/>
      <c r="F212" s="99"/>
      <c r="G212" s="181"/>
      <c r="H212" s="181"/>
      <c r="I212" s="181"/>
    </row>
    <row r="213" spans="1:9" s="93" customFormat="1" ht="15.95" customHeight="1">
      <c r="A213" s="108"/>
      <c r="B213" s="96"/>
      <c r="C213" s="96"/>
      <c r="D213" s="97"/>
      <c r="E213" s="98"/>
      <c r="F213" s="99"/>
      <c r="G213" s="96"/>
      <c r="H213" s="96"/>
      <c r="I213" s="96"/>
    </row>
    <row r="214" spans="1:9" s="93" customFormat="1" ht="15.95" customHeight="1">
      <c r="A214" s="108"/>
      <c r="B214" s="96"/>
      <c r="C214" s="96"/>
      <c r="D214" s="97"/>
      <c r="E214" s="98"/>
      <c r="F214" s="99"/>
      <c r="G214" s="96"/>
      <c r="H214" s="96"/>
      <c r="I214" s="96"/>
    </row>
    <row r="215" spans="1:9" s="93" customFormat="1" ht="15.95" customHeight="1">
      <c r="A215" s="108"/>
      <c r="B215" s="96"/>
      <c r="C215" s="96"/>
      <c r="D215" s="331" t="s">
        <v>134</v>
      </c>
      <c r="E215" s="331"/>
      <c r="F215" s="331"/>
      <c r="G215" s="331" t="s">
        <v>135</v>
      </c>
      <c r="H215" s="331"/>
      <c r="I215" s="331"/>
    </row>
    <row r="216" spans="1:9" s="93" customFormat="1" ht="15.95" customHeight="1">
      <c r="A216" s="108"/>
      <c r="B216" s="96"/>
      <c r="C216" s="96"/>
      <c r="D216" s="333" t="s">
        <v>239</v>
      </c>
      <c r="E216" s="333"/>
      <c r="F216" s="333"/>
      <c r="G216" s="332" t="s">
        <v>241</v>
      </c>
      <c r="H216" s="332"/>
      <c r="I216" s="332"/>
    </row>
    <row r="217" spans="1:9" s="93" customFormat="1" ht="15.95" customHeight="1">
      <c r="A217" s="108" t="s">
        <v>133</v>
      </c>
      <c r="B217" s="96"/>
      <c r="C217" s="96"/>
      <c r="D217" s="333" t="s">
        <v>240</v>
      </c>
      <c r="E217" s="333"/>
      <c r="F217" s="333"/>
      <c r="G217" s="332" t="s">
        <v>242</v>
      </c>
      <c r="H217" s="332"/>
      <c r="I217" s="332"/>
    </row>
    <row r="218" spans="1:9" s="93" customFormat="1" ht="15.95" customHeight="1">
      <c r="A218" s="108"/>
      <c r="B218" s="96"/>
      <c r="C218" s="96"/>
      <c r="D218" s="97"/>
      <c r="E218" s="98"/>
      <c r="F218" s="99"/>
      <c r="G218" s="96"/>
      <c r="H218" s="96"/>
      <c r="I218" s="96"/>
    </row>
    <row r="219" spans="1:9" s="93" customFormat="1" ht="15.95" customHeight="1">
      <c r="A219" s="108"/>
      <c r="B219" s="181"/>
      <c r="C219" s="181"/>
      <c r="D219" s="97"/>
      <c r="E219" s="98"/>
      <c r="F219" s="99"/>
      <c r="G219" s="181"/>
      <c r="H219" s="181"/>
      <c r="I219" s="181"/>
    </row>
    <row r="220" spans="1:9" s="93" customFormat="1" ht="15.95" customHeight="1">
      <c r="A220" s="108"/>
      <c r="B220" s="96"/>
      <c r="C220" s="96"/>
      <c r="D220" s="97"/>
      <c r="E220" s="98"/>
      <c r="F220" s="99"/>
      <c r="G220" s="96"/>
      <c r="H220" s="96"/>
      <c r="I220" s="96"/>
    </row>
    <row r="221" spans="1:9" s="93" customFormat="1" ht="59.25" customHeight="1">
      <c r="A221" s="79" t="s">
        <v>96</v>
      </c>
      <c r="B221" s="337" t="str">
        <f>abst!C16</f>
        <v>Providing detailed geological reports of proposed site by maintaining geotechnical investigation of structure stratification collecting soil, rock and ground water samples for laboratory tests to arrive the foundation design parameters . Rock properties such as type of rock, jointing fractures, etc. complete with suggestion about the site foundation and remedies.</v>
      </c>
      <c r="C221" s="337"/>
      <c r="D221" s="337"/>
      <c r="E221" s="337"/>
      <c r="F221" s="337"/>
      <c r="G221" s="337"/>
      <c r="H221" s="337"/>
      <c r="I221" s="337"/>
    </row>
    <row r="222" spans="1:9" s="93" customFormat="1" ht="15.95" customHeight="1">
      <c r="A222" s="104"/>
      <c r="B222" s="330" t="s">
        <v>209</v>
      </c>
      <c r="C222" s="330"/>
      <c r="D222" s="330"/>
      <c r="E222" s="330"/>
      <c r="F222" s="330"/>
      <c r="G222" s="101"/>
      <c r="H222" s="85">
        <v>38720</v>
      </c>
      <c r="I222" s="92" t="s">
        <v>92</v>
      </c>
    </row>
    <row r="223" spans="1:9" s="93" customFormat="1" ht="15.95" customHeight="1">
      <c r="B223" s="93" t="s">
        <v>77</v>
      </c>
      <c r="H223" s="94">
        <f>0.1*H222</f>
        <v>3872</v>
      </c>
      <c r="I223" s="92" t="s">
        <v>92</v>
      </c>
    </row>
    <row r="224" spans="1:9" s="93" customFormat="1" ht="15.95" customHeight="1">
      <c r="B224" s="93" t="s">
        <v>79</v>
      </c>
      <c r="H224" s="95">
        <f>SUM(H222:H223)</f>
        <v>42592</v>
      </c>
      <c r="I224" s="92" t="s">
        <v>92</v>
      </c>
    </row>
    <row r="225" spans="1:9" s="93" customFormat="1" ht="15.95" customHeight="1">
      <c r="A225" s="108"/>
      <c r="B225" s="96"/>
      <c r="C225" s="96"/>
      <c r="D225" s="97" t="s">
        <v>80</v>
      </c>
      <c r="E225" s="98">
        <f>ROUND((H224/0.05),0)*0.05</f>
        <v>42592</v>
      </c>
      <c r="F225" s="99" t="s">
        <v>91</v>
      </c>
      <c r="G225" s="96"/>
      <c r="H225" s="96"/>
      <c r="I225" s="96"/>
    </row>
    <row r="226" spans="1:9" s="104" customFormat="1" ht="15.95" customHeight="1">
      <c r="A226" s="108" t="s">
        <v>132</v>
      </c>
      <c r="B226" s="96"/>
      <c r="C226" s="96"/>
      <c r="D226" s="97"/>
      <c r="E226" s="98"/>
      <c r="F226" s="99"/>
      <c r="G226" s="96"/>
      <c r="H226" s="96"/>
      <c r="I226" s="96"/>
    </row>
    <row r="227" spans="1:9" ht="15">
      <c r="A227" s="108"/>
      <c r="B227" s="96"/>
      <c r="C227" s="96"/>
      <c r="D227" s="97"/>
      <c r="E227" s="98"/>
      <c r="F227" s="99"/>
      <c r="G227" s="96"/>
      <c r="H227" s="96"/>
      <c r="I227" s="96"/>
    </row>
    <row r="228" spans="1:9" ht="15">
      <c r="A228" s="108"/>
      <c r="B228" s="181"/>
      <c r="C228" s="181"/>
      <c r="D228" s="97"/>
      <c r="E228" s="98"/>
      <c r="F228" s="99"/>
      <c r="G228" s="181"/>
      <c r="H228" s="181"/>
      <c r="I228" s="181"/>
    </row>
    <row r="229" spans="1:9" ht="15">
      <c r="A229" s="108"/>
      <c r="B229" s="181"/>
      <c r="C229" s="181"/>
      <c r="D229" s="97"/>
      <c r="E229" s="98"/>
      <c r="F229" s="99"/>
      <c r="G229" s="181"/>
      <c r="H229" s="181"/>
      <c r="I229" s="181"/>
    </row>
    <row r="230" spans="1:9" ht="15">
      <c r="A230" s="108"/>
      <c r="B230" s="96"/>
      <c r="C230" s="96"/>
      <c r="D230" s="97"/>
      <c r="E230" s="98"/>
      <c r="F230" s="99"/>
      <c r="G230" s="96"/>
      <c r="H230" s="96"/>
      <c r="I230" s="96"/>
    </row>
    <row r="231" spans="1:9" ht="15">
      <c r="A231" s="108"/>
      <c r="B231" s="96"/>
      <c r="C231" s="96"/>
      <c r="D231" s="97"/>
      <c r="E231" s="98"/>
      <c r="F231" s="99"/>
      <c r="G231" s="96"/>
      <c r="H231" s="96"/>
      <c r="I231" s="96"/>
    </row>
    <row r="232" spans="1:9">
      <c r="A232" s="108"/>
      <c r="B232" s="96"/>
      <c r="C232" s="96"/>
      <c r="D232" s="331" t="s">
        <v>134</v>
      </c>
      <c r="E232" s="331"/>
      <c r="F232" s="331"/>
      <c r="G232" s="331" t="s">
        <v>135</v>
      </c>
      <c r="H232" s="331"/>
      <c r="I232" s="331"/>
    </row>
    <row r="233" spans="1:9">
      <c r="A233" s="108" t="s">
        <v>133</v>
      </c>
      <c r="B233" s="96"/>
      <c r="C233" s="96"/>
      <c r="D233" s="333" t="s">
        <v>239</v>
      </c>
      <c r="E233" s="333"/>
      <c r="F233" s="333"/>
      <c r="G233" s="332" t="s">
        <v>241</v>
      </c>
      <c r="H233" s="332"/>
      <c r="I233" s="332"/>
    </row>
    <row r="234" spans="1:9">
      <c r="A234" s="93"/>
      <c r="B234" s="96"/>
      <c r="C234" s="96"/>
      <c r="D234" s="333" t="s">
        <v>240</v>
      </c>
      <c r="E234" s="333"/>
      <c r="F234" s="333"/>
      <c r="G234" s="332" t="s">
        <v>242</v>
      </c>
      <c r="H234" s="332"/>
      <c r="I234" s="332"/>
    </row>
  </sheetData>
  <mergeCells count="115">
    <mergeCell ref="D234:F234"/>
    <mergeCell ref="G234:I234"/>
    <mergeCell ref="B190:I190"/>
    <mergeCell ref="D232:F232"/>
    <mergeCell ref="G232:I232"/>
    <mergeCell ref="D216:F216"/>
    <mergeCell ref="G216:I216"/>
    <mergeCell ref="D217:F217"/>
    <mergeCell ref="G217:I217"/>
    <mergeCell ref="G200:I200"/>
    <mergeCell ref="D215:F215"/>
    <mergeCell ref="G215:I215"/>
    <mergeCell ref="D200:F200"/>
    <mergeCell ref="D233:F233"/>
    <mergeCell ref="G233:I233"/>
    <mergeCell ref="D201:F201"/>
    <mergeCell ref="G201:I201"/>
    <mergeCell ref="B222:F222"/>
    <mergeCell ref="D170:F170"/>
    <mergeCell ref="G170:I170"/>
    <mergeCell ref="D171:F171"/>
    <mergeCell ref="G171:I171"/>
    <mergeCell ref="B174:F174"/>
    <mergeCell ref="B173:I173"/>
    <mergeCell ref="D185:F185"/>
    <mergeCell ref="D199:F199"/>
    <mergeCell ref="G199:I199"/>
    <mergeCell ref="B191:F191"/>
    <mergeCell ref="G187:I187"/>
    <mergeCell ref="D186:F186"/>
    <mergeCell ref="D149:F149"/>
    <mergeCell ref="G149:I149"/>
    <mergeCell ref="G185:I185"/>
    <mergeCell ref="G186:I186"/>
    <mergeCell ref="D187:F187"/>
    <mergeCell ref="G169:I169"/>
    <mergeCell ref="D119:F119"/>
    <mergeCell ref="G119:I119"/>
    <mergeCell ref="B221:I221"/>
    <mergeCell ref="B205:F205"/>
    <mergeCell ref="B153:F153"/>
    <mergeCell ref="B160:F160"/>
    <mergeCell ref="B204:I204"/>
    <mergeCell ref="D135:F135"/>
    <mergeCell ref="D169:F169"/>
    <mergeCell ref="D147:F147"/>
    <mergeCell ref="B137:I137"/>
    <mergeCell ref="B151:I151"/>
    <mergeCell ref="G148:I148"/>
    <mergeCell ref="B138:F138"/>
    <mergeCell ref="D134:F134"/>
    <mergeCell ref="G134:I134"/>
    <mergeCell ref="G147:I147"/>
    <mergeCell ref="D148:F148"/>
    <mergeCell ref="G135:I135"/>
    <mergeCell ref="B53:D53"/>
    <mergeCell ref="B123:I123"/>
    <mergeCell ref="D117:F117"/>
    <mergeCell ref="G117:I117"/>
    <mergeCell ref="D118:F118"/>
    <mergeCell ref="G118:I118"/>
    <mergeCell ref="C106:D106"/>
    <mergeCell ref="D133:F133"/>
    <mergeCell ref="G133:I133"/>
    <mergeCell ref="C104:D104"/>
    <mergeCell ref="C105:D105"/>
    <mergeCell ref="A122:C122"/>
    <mergeCell ref="C103:D103"/>
    <mergeCell ref="C100:D100"/>
    <mergeCell ref="C101:D101"/>
    <mergeCell ref="C102:D102"/>
    <mergeCell ref="C79:D79"/>
    <mergeCell ref="C85:D85"/>
    <mergeCell ref="C93:D93"/>
    <mergeCell ref="C98:D98"/>
    <mergeCell ref="B124:F124"/>
    <mergeCell ref="C99:D99"/>
    <mergeCell ref="C63:D63"/>
    <mergeCell ref="D49:F49"/>
    <mergeCell ref="G49:I49"/>
    <mergeCell ref="B39:F39"/>
    <mergeCell ref="D50:F50"/>
    <mergeCell ref="D35:F35"/>
    <mergeCell ref="G35:I35"/>
    <mergeCell ref="B52:I52"/>
    <mergeCell ref="G50:I50"/>
    <mergeCell ref="D48:F48"/>
    <mergeCell ref="G48:I48"/>
    <mergeCell ref="C74:D74"/>
    <mergeCell ref="B54:I54"/>
    <mergeCell ref="B55:I55"/>
    <mergeCell ref="B58:I58"/>
    <mergeCell ref="B59:I59"/>
    <mergeCell ref="B60:I60"/>
    <mergeCell ref="B61:I61"/>
    <mergeCell ref="B56:I56"/>
    <mergeCell ref="B57:I57"/>
    <mergeCell ref="A1:I1"/>
    <mergeCell ref="A2:I2"/>
    <mergeCell ref="A3:I3"/>
    <mergeCell ref="B22:I22"/>
    <mergeCell ref="B38:I38"/>
    <mergeCell ref="B4:I4"/>
    <mergeCell ref="B5:F5"/>
    <mergeCell ref="G16:I16"/>
    <mergeCell ref="G17:I17"/>
    <mergeCell ref="G18:I18"/>
    <mergeCell ref="B23:F23"/>
    <mergeCell ref="D34:F34"/>
    <mergeCell ref="G34:I34"/>
    <mergeCell ref="D16:F16"/>
    <mergeCell ref="D17:F17"/>
    <mergeCell ref="D18:F18"/>
    <mergeCell ref="D36:F36"/>
    <mergeCell ref="G36:I36"/>
  </mergeCells>
  <phoneticPr fontId="5" type="noConversion"/>
  <pageMargins left="0.75" right="0.75" top="0.85" bottom="0.57999999999999996" header="0.5" footer="0.5"/>
  <pageSetup orientation="portrait" horizontalDpi="4294967293" r:id="rId1"/>
  <headerFooter alignWithMargins="0"/>
  <rowBreaks count="5" manualBreakCount="5">
    <brk id="37" max="8" man="1"/>
    <brk id="106" max="8" man="1"/>
    <brk id="136" max="8" man="1"/>
    <brk id="172" max="8" man="1"/>
    <brk id="203"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SchB</vt:lpstr>
      <vt:lpstr>cover</vt:lpstr>
      <vt:lpstr>face sheet</vt:lpstr>
      <vt:lpstr>Recapitulation Sheet</vt:lpstr>
      <vt:lpstr>abst</vt:lpstr>
      <vt:lpstr>Measurement </vt:lpstr>
      <vt:lpstr>R.A1</vt:lpstr>
      <vt:lpstr>abst!Print_Area</vt:lpstr>
      <vt:lpstr>'face sheet'!Print_Area</vt:lpstr>
      <vt:lpstr>'Measurement '!Print_Area</vt:lpstr>
      <vt:lpstr>R.A1!Print_Area</vt:lpstr>
      <vt:lpstr>'Recapitulation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pioneer</dc:creator>
  <cp:lastModifiedBy>Swapnali S</cp:lastModifiedBy>
  <cp:lastPrinted>2025-12-06T09:44:30Z</cp:lastPrinted>
  <dcterms:created xsi:type="dcterms:W3CDTF">1996-10-14T23:33:28Z</dcterms:created>
  <dcterms:modified xsi:type="dcterms:W3CDTF">2025-12-13T07:14:52Z</dcterms:modified>
</cp:coreProperties>
</file>