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Swapnali\Desktop\Sakina Maam Work\Excel Data Extraction\Final Automated Scripts\"/>
    </mc:Choice>
  </mc:AlternateContent>
  <xr:revisionPtr revIDLastSave="0" documentId="13_ncr:1_{076B9992-FBC5-4825-9C72-C72AE8D7B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" sheetId="8" r:id="rId1"/>
    <sheet name="TL DC MOOSE" sheetId="9" r:id="rId2"/>
    <sheet name="SUMMARY" sheetId="10" r:id="rId3"/>
    <sheet name="Link 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 a="1"/>
  <c r="B10" i="10" s="1"/>
  <c r="C3" i="10"/>
  <c r="C10" i="10"/>
  <c r="E24" i="9"/>
  <c r="E25" i="9" s="1"/>
  <c r="E26" i="9" s="1"/>
  <c r="E22" i="9"/>
  <c r="I15" i="9"/>
  <c r="F36" i="9"/>
  <c r="F32" i="8"/>
  <c r="F127" i="8"/>
  <c r="G68" i="8"/>
  <c r="G62" i="8"/>
  <c r="G22" i="8"/>
  <c r="C20" i="10" l="1"/>
  <c r="C25" i="10"/>
  <c r="E27" i="9"/>
  <c r="E28" i="9"/>
  <c r="E29" i="9" s="1"/>
  <c r="E30" i="9" s="1"/>
  <c r="E31" i="9" s="1"/>
  <c r="E8" i="9"/>
  <c r="E9" i="9" s="1"/>
  <c r="L127" i="8"/>
  <c r="L124" i="8"/>
  <c r="L123" i="8"/>
  <c r="L122" i="8"/>
  <c r="L121" i="8"/>
  <c r="L120" i="8"/>
  <c r="L119" i="8"/>
  <c r="L118" i="8"/>
  <c r="L117" i="8"/>
  <c r="L116" i="8"/>
  <c r="L112" i="8"/>
  <c r="L110" i="8"/>
  <c r="L106" i="8"/>
  <c r="L104" i="8"/>
  <c r="L103" i="8"/>
  <c r="L96" i="8"/>
  <c r="L91" i="8"/>
  <c r="L87" i="8"/>
  <c r="L86" i="8"/>
  <c r="L84" i="8"/>
  <c r="G82" i="8"/>
  <c r="K82" i="8" s="1"/>
  <c r="G81" i="8"/>
  <c r="K81" i="8" s="1"/>
  <c r="L79" i="8"/>
  <c r="L77" i="8"/>
  <c r="L76" i="8"/>
  <c r="L74" i="8"/>
  <c r="L72" i="8"/>
  <c r="L71" i="8"/>
  <c r="L68" i="8"/>
  <c r="L67" i="8"/>
  <c r="L66" i="8"/>
  <c r="L64" i="8"/>
  <c r="L63" i="8"/>
  <c r="L62" i="8"/>
  <c r="G61" i="8"/>
  <c r="J61" i="8" s="1"/>
  <c r="G60" i="8"/>
  <c r="G59" i="8"/>
  <c r="J59" i="8" s="1"/>
  <c r="G58" i="8"/>
  <c r="J58" i="8" s="1"/>
  <c r="L44" i="8"/>
  <c r="L43" i="8"/>
  <c r="L41" i="8"/>
  <c r="L40" i="8"/>
  <c r="M39" i="8"/>
  <c r="N39" i="8" s="1"/>
  <c r="O39" i="8" s="1"/>
  <c r="P39" i="8" s="1"/>
  <c r="L39" i="8"/>
  <c r="M38" i="8"/>
  <c r="N38" i="8" s="1"/>
  <c r="O38" i="8" s="1"/>
  <c r="P38" i="8" s="1"/>
  <c r="L38" i="8"/>
  <c r="M37" i="8"/>
  <c r="N37" i="8" s="1"/>
  <c r="O37" i="8" s="1"/>
  <c r="P37" i="8" s="1"/>
  <c r="L37" i="8"/>
  <c r="L36" i="8"/>
  <c r="L35" i="8"/>
  <c r="L33" i="8"/>
  <c r="L32" i="8"/>
  <c r="L26" i="8"/>
  <c r="G25" i="8"/>
  <c r="L25" i="8" s="1"/>
  <c r="G24" i="8"/>
  <c r="L24" i="8" s="1"/>
  <c r="L22" i="8"/>
  <c r="G21" i="8"/>
  <c r="K21" i="8" s="1"/>
  <c r="G20" i="8"/>
  <c r="I20" i="8" s="1"/>
  <c r="K19" i="8"/>
  <c r="J19" i="8"/>
  <c r="I19" i="8"/>
  <c r="H19" i="8"/>
  <c r="K18" i="8"/>
  <c r="J18" i="8"/>
  <c r="I18" i="8"/>
  <c r="H18" i="8"/>
  <c r="G15" i="8"/>
  <c r="G16" i="8" s="1"/>
  <c r="K14" i="8"/>
  <c r="J14" i="8"/>
  <c r="I14" i="8"/>
  <c r="H14" i="8"/>
  <c r="K13" i="8"/>
  <c r="J13" i="8"/>
  <c r="I13" i="8"/>
  <c r="H13" i="8"/>
  <c r="G11" i="8"/>
  <c r="K11" i="8" s="1"/>
  <c r="L100" i="8" l="1"/>
  <c r="C21" i="10"/>
  <c r="C23" i="10"/>
  <c r="C22" i="10"/>
  <c r="F14" i="9"/>
  <c r="I14" i="9" s="1"/>
  <c r="F13" i="9"/>
  <c r="I13" i="9" s="1"/>
  <c r="I16" i="9" s="1"/>
  <c r="L125" i="8"/>
  <c r="H81" i="8"/>
  <c r="J15" i="8"/>
  <c r="J81" i="8"/>
  <c r="K15" i="8"/>
  <c r="H59" i="8"/>
  <c r="I81" i="8"/>
  <c r="L18" i="8"/>
  <c r="M18" i="8" s="1"/>
  <c r="N18" i="8" s="1"/>
  <c r="O18" i="8" s="1"/>
  <c r="P18" i="8" s="1"/>
  <c r="L19" i="8"/>
  <c r="M19" i="8" s="1"/>
  <c r="N19" i="8" s="1"/>
  <c r="O19" i="8" s="1"/>
  <c r="L13" i="8"/>
  <c r="M13" i="8" s="1"/>
  <c r="N13" i="8" s="1"/>
  <c r="O13" i="8" s="1"/>
  <c r="P13" i="8" s="1"/>
  <c r="L14" i="8"/>
  <c r="M14" i="8" s="1"/>
  <c r="N14" i="8" s="1"/>
  <c r="O14" i="8" s="1"/>
  <c r="P14" i="8" s="1"/>
  <c r="K59" i="8"/>
  <c r="H16" i="8"/>
  <c r="I16" i="8"/>
  <c r="K16" i="8"/>
  <c r="J16" i="8"/>
  <c r="H60" i="8"/>
  <c r="I60" i="8"/>
  <c r="H11" i="8"/>
  <c r="J60" i="8"/>
  <c r="I11" i="8"/>
  <c r="H15" i="8"/>
  <c r="K60" i="8"/>
  <c r="J11" i="8"/>
  <c r="I15" i="8"/>
  <c r="J21" i="8"/>
  <c r="I58" i="8"/>
  <c r="I61" i="8"/>
  <c r="H20" i="8"/>
  <c r="K61" i="8"/>
  <c r="J20" i="8"/>
  <c r="H82" i="8"/>
  <c r="K20" i="8"/>
  <c r="I82" i="8"/>
  <c r="J82" i="8"/>
  <c r="H21" i="8"/>
  <c r="I21" i="8"/>
  <c r="H58" i="8"/>
  <c r="H61" i="8"/>
  <c r="K58" i="8"/>
  <c r="I59" i="8"/>
  <c r="L58" i="8" l="1"/>
  <c r="M58" i="8" s="1"/>
  <c r="N58" i="8" s="1"/>
  <c r="O58" i="8" s="1"/>
  <c r="P58" i="8" s="1"/>
  <c r="L82" i="8"/>
  <c r="M82" i="8" s="1"/>
  <c r="N82" i="8" s="1"/>
  <c r="O82" i="8" s="1"/>
  <c r="P82" i="8" s="1"/>
  <c r="L20" i="8"/>
  <c r="M20" i="8" s="1"/>
  <c r="N20" i="8" s="1"/>
  <c r="O20" i="8" s="1"/>
  <c r="P20" i="8" s="1"/>
  <c r="L59" i="8"/>
  <c r="M59" i="8" s="1"/>
  <c r="N59" i="8" s="1"/>
  <c r="O59" i="8" s="1"/>
  <c r="P59" i="8" s="1"/>
  <c r="P19" i="8"/>
  <c r="L61" i="8"/>
  <c r="M61" i="8" s="1"/>
  <c r="N61" i="8" s="1"/>
  <c r="O61" i="8" s="1"/>
  <c r="P61" i="8" s="1"/>
  <c r="L16" i="8"/>
  <c r="M16" i="8" s="1"/>
  <c r="N16" i="8" s="1"/>
  <c r="C27" i="10"/>
  <c r="I17" i="9"/>
  <c r="I18" i="9" s="1"/>
  <c r="E33" i="9" s="1"/>
  <c r="E34" i="9" s="1"/>
  <c r="E36" i="9" s="1"/>
  <c r="E38" i="9" s="1"/>
  <c r="L11" i="8"/>
  <c r="M11" i="8" s="1"/>
  <c r="N11" i="8" s="1"/>
  <c r="L21" i="8"/>
  <c r="M21" i="8" s="1"/>
  <c r="N21" i="8" s="1"/>
  <c r="O21" i="8" s="1"/>
  <c r="P21" i="8" s="1"/>
  <c r="L60" i="8"/>
  <c r="M60" i="8" s="1"/>
  <c r="N60" i="8" s="1"/>
  <c r="O60" i="8" s="1"/>
  <c r="P60" i="8" s="1"/>
  <c r="L81" i="8"/>
  <c r="M81" i="8" s="1"/>
  <c r="N81" i="8" s="1"/>
  <c r="O81" i="8" s="1"/>
  <c r="P81" i="8" s="1"/>
  <c r="O16" i="8"/>
  <c r="P16" i="8" s="1"/>
  <c r="L15" i="8"/>
  <c r="M15" i="8" s="1"/>
  <c r="N15" i="8" s="1"/>
  <c r="E40" i="9" l="1"/>
  <c r="O15" i="8"/>
  <c r="P15" i="8" s="1"/>
  <c r="O11" i="8"/>
  <c r="P11" i="8" s="1"/>
  <c r="L88" i="8"/>
  <c r="L12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<sst xmlns="http://schemas.openxmlformats.org/spreadsheetml/2006/main" count="988" uniqueCount="286">
  <si>
    <t>Total</t>
  </si>
  <si>
    <t>Pump Houses</t>
  </si>
  <si>
    <t>Sr. No.</t>
  </si>
  <si>
    <t>Description</t>
  </si>
  <si>
    <t>Nikhop</t>
  </si>
  <si>
    <t>Shindipada</t>
  </si>
  <si>
    <t>Savaroli</t>
  </si>
  <si>
    <t>Chonde</t>
  </si>
  <si>
    <t>A)</t>
  </si>
  <si>
    <t>SUBSTATION</t>
  </si>
  <si>
    <t>Unit</t>
  </si>
  <si>
    <t>Quantity (in Nos.)</t>
  </si>
  <si>
    <t>Cost per unit (in Rs.)</t>
  </si>
  <si>
    <t>Total Cost (in Rs.)</t>
  </si>
  <si>
    <t>TRANSFORMER</t>
  </si>
  <si>
    <t>a)</t>
  </si>
  <si>
    <t>220/11 kV, 3-Ph,  YNyn0, Cu. winding, ONAN  Transformer with OLTC  (+  5  %  -  15 %  in step of  1.25 %)  and RTCC  panel</t>
  </si>
  <si>
    <t>PH1</t>
  </si>
  <si>
    <t>i)</t>
  </si>
  <si>
    <t>100 MVA</t>
  </si>
  <si>
    <t>Nos.</t>
  </si>
  <si>
    <t>PH2</t>
  </si>
  <si>
    <t>ii)</t>
  </si>
  <si>
    <t xml:space="preserve">60 MVA </t>
  </si>
  <si>
    <t>PH3</t>
  </si>
  <si>
    <t>iii)</t>
  </si>
  <si>
    <t>75 MVA</t>
  </si>
  <si>
    <t>PH4</t>
  </si>
  <si>
    <t>iv)</t>
  </si>
  <si>
    <t>v)</t>
  </si>
  <si>
    <t>220 kV EQUIPMENT :</t>
  </si>
  <si>
    <t>SF6 Circuit Breaker, 3-Ph gang operated complete with operating mechanism &amp; support structure</t>
  </si>
  <si>
    <t>3-Ph gang operated double break centre post rotating outdoor type motor operated disconnector (Isolator) with solid core post insulator.</t>
  </si>
  <si>
    <t>Without earth switch</t>
  </si>
  <si>
    <t>b)</t>
  </si>
  <si>
    <r>
      <rPr>
        <sz val="11"/>
        <rFont val="Calibri"/>
        <family val="2"/>
        <scheme val="minor"/>
      </rPr>
      <t>With one earth switch</t>
    </r>
    <r>
      <rPr>
        <b/>
        <sz val="11"/>
        <rFont val="Calibri"/>
        <family val="2"/>
        <scheme val="minor"/>
      </rPr>
      <t>( manual )</t>
    </r>
  </si>
  <si>
    <t>c)</t>
  </si>
  <si>
    <r>
      <rPr>
        <sz val="11"/>
        <rFont val="Calibri"/>
        <family val="2"/>
        <scheme val="minor"/>
      </rPr>
      <t xml:space="preserve">With two earth switch </t>
    </r>
    <r>
      <rPr>
        <b/>
        <sz val="11"/>
        <rFont val="Calibri"/>
        <family val="2"/>
        <scheme val="minor"/>
      </rPr>
      <t xml:space="preserve">( manual </t>
    </r>
    <r>
      <rPr>
        <sz val="11"/>
        <rFont val="Calibri"/>
        <family val="2"/>
        <scheme val="minor"/>
      </rPr>
      <t>)</t>
    </r>
  </si>
  <si>
    <t>lightning arrestor.</t>
  </si>
  <si>
    <t>Out door single phase current transformers for:</t>
  </si>
  <si>
    <t>Transformer feeder</t>
  </si>
  <si>
    <t>Line feeder</t>
  </si>
  <si>
    <t>Capacitive voltage transformer</t>
  </si>
  <si>
    <t>Potential transformer</t>
  </si>
  <si>
    <t>Solid core post insulator(Bus )</t>
  </si>
  <si>
    <t>Substation Bay Hardware, 220kV side</t>
  </si>
  <si>
    <t>Single tension insulator  asembly with all hardwares accessories ACSR MOOSE conductor</t>
  </si>
  <si>
    <t>Set</t>
  </si>
  <si>
    <t>90 KN Disc insulator</t>
  </si>
  <si>
    <t>Clamp  and  terminal  connectors  suitable  for Moose ACSR conductors on 220 kV side</t>
  </si>
  <si>
    <t>LS</t>
  </si>
  <si>
    <t>Conductor &amp; Accessories</t>
  </si>
  <si>
    <t>Shield Wire  &amp; Accessories</t>
  </si>
  <si>
    <r>
      <rPr>
        <b/>
        <u/>
        <sz val="11"/>
        <rFont val="Calibri"/>
        <family val="2"/>
        <scheme val="minor"/>
      </rPr>
      <t>Power &amp; control cable</t>
    </r>
  </si>
  <si>
    <t>Power cable</t>
  </si>
  <si>
    <t>11kV XLPE  insulated armoured cable of the following sizes:</t>
  </si>
  <si>
    <t>i</t>
  </si>
  <si>
    <t>3.5 Core x 240 sqmm for station transformer (2 runs)</t>
  </si>
  <si>
    <t>Mtr.</t>
  </si>
  <si>
    <t>ii</t>
  </si>
  <si>
    <r>
      <rPr>
        <sz val="11"/>
        <rFont val="Calibri"/>
        <family val="2"/>
        <scheme val="minor"/>
      </rPr>
      <t xml:space="preserve">Termination with double compression gland and Al lugs  in ACDB for 3 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/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core x 240 sq, mm cable</t>
    </r>
  </si>
  <si>
    <t>1.1 KV PVC insulated &amp; sheathed, GI steel armoured cable of the following size including cable support (For AC supply &amp; yard lighting)</t>
  </si>
  <si>
    <t>4 core x 10 sqmm  Al.  Conductor cable</t>
  </si>
  <si>
    <t>4 core x 16 sqmm  Al. Conductor cable</t>
  </si>
  <si>
    <t>iii</t>
  </si>
  <si>
    <t>3.5 core x 70 sqmm  Al. Conductor cable for oil filtration set</t>
  </si>
  <si>
    <r>
      <t>3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/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core x 50 sqmm Al conductor cable ( GI Strip armoured) for ACDB to Battery charger</t>
    </r>
  </si>
  <si>
    <t>d)</t>
  </si>
  <si>
    <r>
      <t>3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/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core x 50 sqmm Al conductor cable ( GI Strip armoured) for ACDB to BMK</t>
    </r>
  </si>
  <si>
    <t>e)</t>
  </si>
  <si>
    <t>2 core x 50 sqmm  copper conductor cable (For DC) Battery charger to Battery</t>
  </si>
  <si>
    <t>f)</t>
  </si>
  <si>
    <t>Cable Glands &amp; lugs for item 5.1  b,c,d &amp; e</t>
  </si>
  <si>
    <t>Lot</t>
  </si>
  <si>
    <t>Copper Control Cable</t>
  </si>
  <si>
    <t>1100  V  grade,  PVC  insulated,  PVC  sheathed,  steel  round  wire armoured, stranded  control cables of the sizes as required with termination including lugs, glands, ferrules and all other accessories</t>
  </si>
  <si>
    <t xml:space="preserve">Lot </t>
  </si>
  <si>
    <r>
      <rPr>
        <b/>
        <u/>
        <sz val="11"/>
        <rFont val="Calibri"/>
        <family val="2"/>
        <scheme val="minor"/>
      </rPr>
      <t>EARTHING AND  LIGHTNING PROTECTION</t>
    </r>
  </si>
  <si>
    <t>Main Earth mat and Aux Earth mat shall be done by 40mm dia MS rod</t>
  </si>
  <si>
    <t>Tower and equipment structures through 75 x 12 mm GI flat</t>
  </si>
  <si>
    <t>Earthing conductor for connection of panel, Junction box, &amp; building Lightning risers etc (50x6 GI flat)</t>
  </si>
  <si>
    <t>Transformer  neutral  earthing  with  50x6mm  copper  flat  upto  water  level</t>
  </si>
  <si>
    <t>50x6 mm MS flat for cable trench earthing</t>
  </si>
  <si>
    <t>Transformer body earthing  ( 75 x 12 mm G I flat)</t>
  </si>
  <si>
    <t>g)</t>
  </si>
  <si>
    <t>40 mm dia 3 m long GI pipe earth electrode with treated earth Pit for switchyard corner &amp; gate</t>
  </si>
  <si>
    <t>h)</t>
  </si>
  <si>
    <t>40 mm dia 3 m long MS rod earth electrode with earth Pit for peak tower,  CVT,LA,  control  building as  per IS:3043</t>
  </si>
  <si>
    <t>Lightning spikes for building and swtichyard,  20mm dia GI rod along with support angles of size 50x50x6mm</t>
  </si>
  <si>
    <t>j)</t>
  </si>
  <si>
    <t>Electrolytic   grade   copper   plate   600mm   x   600mm   x   6mm   for transformer neutral earthing to be provided in 4.5 mtr deep earth pit to be filled with salt &amp; charcoal as per IS:3043</t>
  </si>
  <si>
    <t>k)</t>
  </si>
  <si>
    <t>Electrolytic     grade     copper     plate     600mmx600mmx6mm    for Instrumentation &amp;  SCADA  System to  be  provided  in  4.5  mtr  deep earth pit to be filled with salt &amp; charcoal as per IS:3043</t>
  </si>
  <si>
    <r>
      <rPr>
        <b/>
        <u/>
        <sz val="11"/>
        <rFont val="Calibri"/>
        <family val="2"/>
        <scheme val="minor"/>
      </rPr>
      <t>Control and Relay Panel </t>
    </r>
  </si>
  <si>
    <t>Indoor  floor  mounted,  simplex  type  control  and  relay  panels  with mimic  &amp;  annunciation   for  132kV  system  as  per  specification  and data sheet comprising of :</t>
  </si>
  <si>
    <t>220 kv Line Panel</t>
  </si>
  <si>
    <t>220 kv Transformer Panel</t>
  </si>
  <si>
    <t>220 kv Bus</t>
  </si>
  <si>
    <t>220 kv Bus Coupler</t>
  </si>
  <si>
    <t>Substation Automation &amp; SCADA system along with Ethernet, Data Concentrator , communication &amp; data server, local work station with necessary accessories, hardware /software , fiber optic cabling. Substation automation system of 220/11kV substations including hardware for present bays and software (for present bays and future bays) along with associated equipment for bays.</t>
  </si>
  <si>
    <t>PLCC equipment (EPAX, PLC terminal, LTU, Telephone set, Wave trap)</t>
  </si>
  <si>
    <r>
      <rPr>
        <b/>
        <u/>
        <sz val="11"/>
        <rFont val="Calibri"/>
        <family val="2"/>
        <scheme val="minor"/>
      </rPr>
      <t>Fire Extinguishers</t>
    </r>
    <r>
      <rPr>
        <b/>
        <sz val="11"/>
        <rFont val="Calibri"/>
        <family val="2"/>
        <scheme val="minor"/>
      </rPr>
      <t xml:space="preserve"> - Fire Fighting equipments, Trolley mounted, wall mounted, fire buckets, rubber mats etc</t>
    </r>
  </si>
  <si>
    <t>LOT</t>
  </si>
  <si>
    <r>
      <rPr>
        <b/>
        <u/>
        <sz val="11"/>
        <rFont val="Calibri"/>
        <family val="2"/>
        <scheme val="minor"/>
      </rPr>
      <t>Structural Steel  </t>
    </r>
  </si>
  <si>
    <t>Tower &amp; Beam</t>
  </si>
  <si>
    <t>MT</t>
  </si>
  <si>
    <t>Equipments structure lattice type</t>
  </si>
  <si>
    <t>Bay  marshalling  kiosk  made  of  2.5  mm.  Thick  sheet  steel, IP  55 enclosure protection as per specification. (250 TB)</t>
  </si>
  <si>
    <t>No.</t>
  </si>
  <si>
    <r>
      <rPr>
        <b/>
        <u/>
        <sz val="11"/>
        <rFont val="Calibri"/>
        <family val="2"/>
        <scheme val="minor"/>
      </rPr>
      <t>Cable support &amp; trays</t>
    </r>
  </si>
  <si>
    <t>Ladder type cable trays in the standard length of 2.5mts, duly hot dip galvanised after fabrication, inclusive of coupler plate with necessary electrogalvanised harware.</t>
  </si>
  <si>
    <t>600X50 mm ladder type</t>
  </si>
  <si>
    <t>Mtrs</t>
  </si>
  <si>
    <t>300X50 mm ladder type</t>
  </si>
  <si>
    <t>Perforated cable trays ,  fabricated from 2.5mm thick MS sheet in the standard length of 2.5mtrs, duly hot dip galvanised after fabrication, inclusive of coupler plate with necessary electrogalvanised hardware.</t>
  </si>
  <si>
    <t>100X50 mm perforated type</t>
  </si>
  <si>
    <t>Cable rack</t>
  </si>
  <si>
    <t>650X50 mm ladder type</t>
  </si>
  <si>
    <t>350X50 mm ladder type</t>
  </si>
  <si>
    <r>
      <rPr>
        <b/>
        <u/>
        <sz val="11"/>
        <rFont val="Calibri"/>
        <family val="2"/>
        <scheme val="minor"/>
      </rPr>
      <t>AC Distribution </t>
    </r>
  </si>
  <si>
    <t>AC   415V,  300A,  50  KA    for   1   Sec   cubicle  type  Indoor,  floor mounted, auxiliary service board with SCADA compatibility.</t>
  </si>
  <si>
    <r>
      <rPr>
        <b/>
        <u/>
        <sz val="11"/>
        <rFont val="Calibri"/>
        <family val="2"/>
        <scheme val="minor"/>
      </rPr>
      <t>BATTERY &amp; BATTERY CHARGER</t>
    </r>
  </si>
  <si>
    <t>220V  DC,  100  AH  lead  acid  battery  of  VRLA  type  complete  with accessories  as per specification  with 10% spare acid</t>
  </si>
  <si>
    <t>Battery Charger = 1 set</t>
  </si>
  <si>
    <r>
      <rPr>
        <b/>
        <u/>
        <sz val="11"/>
        <rFont val="Calibri"/>
        <family val="2"/>
        <scheme val="minor"/>
      </rPr>
      <t>DC DISTRIBUTION BOARD (220V, 100 AH</t>
    </r>
    <r>
      <rPr>
        <b/>
        <sz val="11"/>
        <rFont val="Calibri"/>
        <family val="2"/>
        <scheme val="minor"/>
      </rPr>
      <t>)</t>
    </r>
  </si>
  <si>
    <t>1 No. incomer with 250A, DP DC MCCB and to terminate 2 core 50 sqmm  Al. cable.</t>
  </si>
  <si>
    <t>12   Nos.   outgoing   feeders   each   with   63/32    MCB   as   per   the requirement</t>
  </si>
  <si>
    <t>Outdoor Illumination</t>
  </si>
  <si>
    <t>Air conditioning &amp; Miscellaneous</t>
  </si>
  <si>
    <t xml:space="preserve">LS </t>
  </si>
  <si>
    <t>SUBTOTAL</t>
  </si>
  <si>
    <t xml:space="preserve">Auxilary Transformer  </t>
  </si>
  <si>
    <t>5000 KVA</t>
  </si>
  <si>
    <t>3750 KVA</t>
  </si>
  <si>
    <t>6300 KVA</t>
  </si>
  <si>
    <t xml:space="preserve">DG  </t>
  </si>
  <si>
    <t>4500 KVA</t>
  </si>
  <si>
    <t>3000 KVA</t>
  </si>
  <si>
    <t>3500 KVA</t>
  </si>
  <si>
    <t>Sub total</t>
  </si>
  <si>
    <t>B</t>
  </si>
  <si>
    <t>PUMP HOUSE ELECTRICAL</t>
  </si>
  <si>
    <t>11 kV Switchgear (2 IC + 1 BC + 9 O/G for pump/motors + 1 spare)</t>
  </si>
  <si>
    <t>APFCR Panel</t>
  </si>
  <si>
    <t xml:space="preserve">VFD  </t>
  </si>
  <si>
    <t>14 MW</t>
  </si>
  <si>
    <t>Nos</t>
  </si>
  <si>
    <t>11 MW</t>
  </si>
  <si>
    <t>LT Switchgear Panel</t>
  </si>
  <si>
    <t xml:space="preserve">Cables </t>
  </si>
  <si>
    <t>11kV Cables, LT Cables, Control Cables</t>
  </si>
  <si>
    <t>Lighting Fixtures</t>
  </si>
  <si>
    <t xml:space="preserve">Earthing </t>
  </si>
  <si>
    <t>Miscellaneous</t>
  </si>
  <si>
    <t>Spares</t>
  </si>
  <si>
    <t>Jointing Kit</t>
  </si>
  <si>
    <t>Statutory Approvals</t>
  </si>
  <si>
    <t>Safety Equipments</t>
  </si>
  <si>
    <t>Battery &amp; Battery Charger</t>
  </si>
  <si>
    <t>Air Circulation System</t>
  </si>
  <si>
    <t>SUB TOTAL</t>
  </si>
  <si>
    <t>C</t>
  </si>
  <si>
    <t>Civil Works for SS Control Room building + PS Electrical works (140 x 140)m</t>
  </si>
  <si>
    <t>Sq mm</t>
  </si>
  <si>
    <r>
      <t xml:space="preserve">TOTAL </t>
    </r>
    <r>
      <rPr>
        <b/>
        <sz val="12"/>
        <color theme="1"/>
        <rFont val="Calibri"/>
        <family val="2"/>
        <scheme val="minor"/>
      </rPr>
      <t>(SITC COST IN INR)</t>
    </r>
  </si>
  <si>
    <t>PH1, PH2, PH3, PH4</t>
  </si>
  <si>
    <t>8 MW</t>
  </si>
  <si>
    <t>1000 KVA</t>
  </si>
  <si>
    <t>6250 KVA</t>
  </si>
  <si>
    <t>11 kV Switchgear (2 IC + 1 BC + 10 O/G for pump/motors + 1 spare)</t>
  </si>
  <si>
    <t>1100  V  grade,  PVC  insulated, armoured, stranded  control cables with termination including lugs, glands, ferrules and all other accessories</t>
  </si>
  <si>
    <t>4 MW</t>
  </si>
  <si>
    <t>per kVA rate - vendor based</t>
  </si>
  <si>
    <t>Cable manf.List price</t>
  </si>
  <si>
    <t>Vendor on call price</t>
  </si>
  <si>
    <t xml:space="preserve">PH1, PH2, PH3, PH4, </t>
  </si>
  <si>
    <t>PH1, PH2, PH3, PH4,</t>
  </si>
  <si>
    <t>15 % erection,testing,commissioning charges</t>
  </si>
  <si>
    <t>Transport charges 3 %</t>
  </si>
  <si>
    <t>Contractor Profit 5 %</t>
  </si>
  <si>
    <t>Labour Cess 1 %</t>
  </si>
  <si>
    <t>Total Cost (in Rs.) (1+2+3+4+5)</t>
  </si>
  <si>
    <t>Add 10 for Hilly</t>
  </si>
  <si>
    <t>Sum (6+7)</t>
  </si>
  <si>
    <t>Add 1% for Labour Wellfare</t>
  </si>
  <si>
    <t>Total Amount (8+9)</t>
  </si>
  <si>
    <t>WRD Hydro Electrical CSR 2022_23 pg 19/51</t>
  </si>
  <si>
    <t>WRD Hydro Electrical CSR 2022_23 pg21/51</t>
  </si>
  <si>
    <t>WRD Hydro Electrical CSR 2022_23 pg20/51</t>
  </si>
  <si>
    <t>WRD Hydro Electrical CSR 2022_23 pg22/51</t>
  </si>
  <si>
    <t>Maha Transco 2025 pg 35/121</t>
  </si>
  <si>
    <t>Maha Transco 2025 page 49/121</t>
  </si>
  <si>
    <t>120 KN Disc insulator</t>
  </si>
  <si>
    <t>Cable manf. List price - Polycab or eqvivalent</t>
  </si>
  <si>
    <t>1.1 KV PVC insulated, armoured cable of the following size including cable support (For AC supply &amp; yard lighting)</t>
  </si>
  <si>
    <t>MJP-Mech-CSR-2023-24 page 55/168</t>
  </si>
  <si>
    <t>PWD-Electrical-CSR-2022-23-All-Consolidated-1 page 137/321</t>
  </si>
  <si>
    <t>Electrolytic grade copper plate 600mm  x  600mm  x  6mm for transformer neutral earthing to be provided in 4.5 mtr deep earth pit to be filled with salt &amp; charcoal as per IS:3043</t>
  </si>
  <si>
    <t>Electrolytic grade copper plate 600mmx600mmx6mm for Instrumentation &amp;  SCADA  System to  be  provided  in  4.5  mtr  deep earth pit to be filled with salt &amp; charcoal as per IS:3043</t>
  </si>
  <si>
    <t>Indoor  floor  mounted,  simplex  type  control  and  relay  panels  with mimic &amp;  annunciation for 220kV  system  as  per  specification  and data sheet comprising of :</t>
  </si>
  <si>
    <t>WRD Hydro Electrical CSR 2022_23 page 51/51 (Relay SOR rate + Panel + Wire +Acc)</t>
  </si>
  <si>
    <t>Substation Automation &amp; SCADA system along with Ethernet, Data Concentrator, communication &amp; data server, local work station with necessary accessories, hardware /software, fiber optic cabling. Substation automation system of 220/11kV substations including hardware for present bays and software (for present bays and future bays) along with associated equipment for bays.</t>
  </si>
  <si>
    <t>Maha Transco 2025 page 51/121</t>
  </si>
  <si>
    <t>Market rate/kg</t>
  </si>
  <si>
    <t>WRD Hydro Electrical CSR 2022_23 page 47/51 (pro-rata basis)</t>
  </si>
  <si>
    <t>WRD Hydro Electrical CSR 2022_23 page 49/51 (pro-rata basis)</t>
  </si>
  <si>
    <t>1600 KVA</t>
  </si>
  <si>
    <t>MJP SOR 23-24 page 34/168</t>
  </si>
  <si>
    <t xml:space="preserve"> (per kVA as per 18.1(i))</t>
  </si>
  <si>
    <t>6500 KVA</t>
  </si>
  <si>
    <t>5000 KVA (or 2x2000)</t>
  </si>
  <si>
    <t>3000 KVA (or 2x1500)</t>
  </si>
  <si>
    <t>Vendor On call price</t>
  </si>
  <si>
    <t>25 MVA</t>
  </si>
  <si>
    <t xml:space="preserve">Maha Transco 2025 page(Supply - 34of 121, ETC - 54of 121) </t>
  </si>
  <si>
    <t>WRD Hydro Electrical CSR 2022_23 pg21/51 - (Consideration - 1.5*Single Earth Switch)</t>
  </si>
  <si>
    <t xml:space="preserve">Maha Transco 2025 page(Supply - 34, ETC - 54) </t>
  </si>
  <si>
    <t>Maha Transco 2025 page 49/121 (Supply) +500-Inst</t>
  </si>
  <si>
    <t>Maha Transco 2025 page (Supply 51/121 + Installation 58/121)</t>
  </si>
  <si>
    <t>Maha Transco 2025 page (Supply 17/121 + Installation 58/121)</t>
  </si>
  <si>
    <t xml:space="preserve">WRD Hydro Electrical CSR 2022_23 page 47/51 </t>
  </si>
  <si>
    <t xml:space="preserve">WRD Hydro Electrical CSR 2022_23 page 49/51 </t>
  </si>
  <si>
    <t>Maha Transco 2025 page(Supply - 34of 121, ETC - 54of 121)  35% additional on 50MVA price</t>
  </si>
  <si>
    <t>Maha Transco 2025 page(Supply - 34of 121, ETC - 54of 121) 15.% additional on 50MVA price</t>
  </si>
  <si>
    <t>Maha Transco 2025 page( Supply 17/121 +installation 58/121)</t>
  </si>
  <si>
    <t>Sqm</t>
  </si>
  <si>
    <t>220kV TRANSMISSION LINE with MOOSE CONDUCTOR - DC</t>
  </si>
  <si>
    <t>Rate Reference</t>
  </si>
  <si>
    <t>Key Inputs</t>
  </si>
  <si>
    <t>Total Length considered</t>
  </si>
  <si>
    <t>Kms</t>
  </si>
  <si>
    <t>Span</t>
  </si>
  <si>
    <t>mtr</t>
  </si>
  <si>
    <t>Total towers</t>
  </si>
  <si>
    <t xml:space="preserve">Say, </t>
  </si>
  <si>
    <t>220kV Transmission Towers</t>
  </si>
  <si>
    <t>Tower Type</t>
  </si>
  <si>
    <t>Bifurcation</t>
  </si>
  <si>
    <t>Weight (MT)</t>
  </si>
  <si>
    <t>Price per MT</t>
  </si>
  <si>
    <t>Amount</t>
  </si>
  <si>
    <t>A type</t>
  </si>
  <si>
    <t>C type</t>
  </si>
  <si>
    <t>D type 2 nos (Start + End)</t>
  </si>
  <si>
    <t>Tower Supply Cost of towers (In INR)</t>
  </si>
  <si>
    <t>Civil work associated with Towers</t>
  </si>
  <si>
    <t>@</t>
  </si>
  <si>
    <t>Tower Supply Cost of towers including CIVIL works (In INR)</t>
  </si>
  <si>
    <t>ACSR Conductor - MOOSE</t>
  </si>
  <si>
    <t>Weight of Conductor per mtr -</t>
  </si>
  <si>
    <t>kg</t>
  </si>
  <si>
    <t>Conductor price kg/per mtr (INR)</t>
  </si>
  <si>
    <t>Total cost per mtr (INR)</t>
  </si>
  <si>
    <t>Cost per km (INR) for SC per conductor</t>
  </si>
  <si>
    <t>Cost per km (INR) for SC  line</t>
  </si>
  <si>
    <t>Cost per KM - DC Circuit (INR) per conductor</t>
  </si>
  <si>
    <t>Considering sag @</t>
  </si>
  <si>
    <t>Cost per KM - DC Circuit (INR)</t>
  </si>
  <si>
    <t>For said km distance (INR)</t>
  </si>
  <si>
    <t>Conductor Accessories, EW, FO &amp; other equipment Cost @</t>
  </si>
  <si>
    <t>Total Cost for Conductor - per km for DC (INR)</t>
  </si>
  <si>
    <t>Total Supply Cost For Tower + Conductor</t>
  </si>
  <si>
    <t>Installation Cost @</t>
  </si>
  <si>
    <t>Total SITC cost for the said KM line</t>
  </si>
  <si>
    <t>kms</t>
  </si>
  <si>
    <t>Total SITC cost of DC MOOSE line per KM (in INR)</t>
  </si>
  <si>
    <t>Design &amp; Survey works per km @</t>
  </si>
  <si>
    <t>Length of TL DC Moose conductor (in kms.)</t>
  </si>
  <si>
    <t>Total Cost of TL DC Moose conductor per km</t>
  </si>
  <si>
    <t>Length of TL DC Moose conductor with 25% tolerance (in kms)</t>
  </si>
  <si>
    <t>Option 1</t>
  </si>
  <si>
    <t>PH 1</t>
  </si>
  <si>
    <t>PH 2</t>
  </si>
  <si>
    <t>PH 3</t>
  </si>
  <si>
    <t>PH 4</t>
  </si>
  <si>
    <t xml:space="preserve">TL </t>
  </si>
  <si>
    <t>End</t>
  </si>
  <si>
    <t>Table 1</t>
  </si>
  <si>
    <t>Start/repeat</t>
  </si>
  <si>
    <t>repeat</t>
  </si>
  <si>
    <t>Table 2</t>
  </si>
  <si>
    <t>Start</t>
  </si>
  <si>
    <t/>
  </si>
  <si>
    <t>Table 3</t>
  </si>
  <si>
    <t>Table 4</t>
  </si>
  <si>
    <t>Table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</si>
</sst>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 shrinkToFit="1"/>
    </xf>
    <xf numFmtId="4" fontId="6" fillId="0" borderId="1" xfId="0" applyNumberFormat="1" applyFont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 shrinkToFit="1"/>
    </xf>
    <xf numFmtId="3" fontId="6" fillId="2" borderId="1" xfId="0" applyNumberFormat="1" applyFont="1" applyFill="1" applyBorder="1" applyAlignment="1">
      <alignment horizontal="center" vertical="center" wrapText="1" shrinkToFit="1"/>
    </xf>
    <xf numFmtId="0" fontId="0" fillId="2" borderId="0" xfId="0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 shrinkToFit="1"/>
    </xf>
    <xf numFmtId="4" fontId="6" fillId="5" borderId="1" xfId="0" applyNumberFormat="1" applyFont="1" applyFill="1" applyBorder="1" applyAlignment="1">
      <alignment horizontal="center" vertical="center" wrapText="1" shrinkToFit="1"/>
    </xf>
    <xf numFmtId="3" fontId="6" fillId="5" borderId="1" xfId="0" applyNumberFormat="1" applyFont="1" applyFill="1" applyBorder="1" applyAlignment="1">
      <alignment horizontal="center" vertical="center" wrapText="1" shrinkToFi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0" borderId="1" xfId="2" applyNumberFormat="1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64" fontId="6" fillId="0" borderId="1" xfId="2" applyNumberFormat="1" applyFont="1" applyFill="1" applyBorder="1" applyAlignment="1">
      <alignment horizontal="center" vertical="center" wrapText="1"/>
    </xf>
    <xf numFmtId="164" fontId="7" fillId="0" borderId="1" xfId="2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11" fillId="0" borderId="28" xfId="1" applyNumberFormat="1" applyFont="1" applyFill="1" applyBorder="1" applyAlignment="1">
      <alignment horizontal="center" vertical="center" wrapText="1"/>
    </xf>
    <xf numFmtId="164" fontId="4" fillId="0" borderId="28" xfId="1" applyNumberFormat="1" applyFont="1" applyFill="1" applyBorder="1" applyAlignment="1">
      <alignment horizontal="center" vertical="center" wrapText="1"/>
    </xf>
    <xf numFmtId="164" fontId="6" fillId="0" borderId="28" xfId="1" applyNumberFormat="1" applyFont="1" applyFill="1" applyBorder="1" applyAlignment="1">
      <alignment horizontal="center" vertical="center" wrapText="1"/>
    </xf>
    <xf numFmtId="164" fontId="7" fillId="0" borderId="28" xfId="1" applyNumberFormat="1" applyFont="1" applyFill="1" applyBorder="1" applyAlignment="1">
      <alignment horizontal="center" vertical="center" wrapText="1"/>
    </xf>
    <xf numFmtId="164" fontId="0" fillId="0" borderId="28" xfId="1" applyNumberFormat="1" applyFont="1" applyFill="1" applyBorder="1" applyAlignment="1">
      <alignment horizontal="center" vertical="center" wrapText="1"/>
    </xf>
    <xf numFmtId="164" fontId="11" fillId="0" borderId="35" xfId="1" applyNumberFormat="1" applyFont="1" applyFill="1" applyBorder="1" applyAlignment="1">
      <alignment horizontal="center" vertical="center" wrapText="1"/>
    </xf>
    <xf numFmtId="164" fontId="4" fillId="0" borderId="35" xfId="1" applyNumberFormat="1" applyFont="1" applyFill="1" applyBorder="1" applyAlignment="1">
      <alignment horizontal="center" vertical="center" wrapText="1"/>
    </xf>
    <xf numFmtId="164" fontId="6" fillId="0" borderId="35" xfId="1" applyNumberFormat="1" applyFont="1" applyFill="1" applyBorder="1" applyAlignment="1">
      <alignment horizontal="center" vertical="center" wrapText="1"/>
    </xf>
    <xf numFmtId="164" fontId="7" fillId="0" borderId="35" xfId="1" applyNumberFormat="1" applyFont="1" applyFill="1" applyBorder="1" applyAlignment="1">
      <alignment horizontal="center" vertical="center" wrapText="1"/>
    </xf>
    <xf numFmtId="164" fontId="0" fillId="0" borderId="35" xfId="1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 shrinkToFit="1"/>
    </xf>
    <xf numFmtId="3" fontId="6" fillId="3" borderId="1" xfId="0" applyNumberFormat="1" applyFont="1" applyFill="1" applyBorder="1" applyAlignment="1">
      <alignment horizontal="center" vertical="center" wrapText="1" shrinkToFit="1"/>
    </xf>
    <xf numFmtId="3" fontId="6" fillId="3" borderId="35" xfId="0" applyNumberFormat="1" applyFont="1" applyFill="1" applyBorder="1" applyAlignment="1">
      <alignment horizontal="center" vertical="center" wrapText="1" shrinkToFit="1"/>
    </xf>
    <xf numFmtId="0" fontId="7" fillId="3" borderId="31" xfId="0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 shrinkToFit="1"/>
    </xf>
    <xf numFmtId="3" fontId="6" fillId="3" borderId="3" xfId="0" applyNumberFormat="1" applyFont="1" applyFill="1" applyBorder="1" applyAlignment="1">
      <alignment horizontal="center" vertical="center" wrapText="1" shrinkToFit="1"/>
    </xf>
    <xf numFmtId="3" fontId="6" fillId="3" borderId="32" xfId="0" applyNumberFormat="1" applyFont="1" applyFill="1" applyBorder="1" applyAlignment="1">
      <alignment horizontal="center" vertical="center" wrapText="1" shrinkToFit="1"/>
    </xf>
    <xf numFmtId="3" fontId="6" fillId="3" borderId="28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8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64" fontId="0" fillId="0" borderId="1" xfId="2" applyNumberFormat="1" applyFont="1" applyFill="1" applyBorder="1" applyAlignment="1">
      <alignment vertical="center"/>
    </xf>
    <xf numFmtId="164" fontId="0" fillId="0" borderId="28" xfId="2" applyNumberFormat="1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2" fillId="0" borderId="46" xfId="2" applyNumberFormat="1" applyFont="1" applyFill="1" applyBorder="1" applyAlignment="1">
      <alignment vertical="center"/>
    </xf>
    <xf numFmtId="0" fontId="0" fillId="0" borderId="47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right" vertical="center"/>
    </xf>
    <xf numFmtId="9" fontId="2" fillId="0" borderId="11" xfId="0" applyNumberFormat="1" applyFont="1" applyBorder="1" applyAlignment="1">
      <alignment horizontal="left" vertical="center"/>
    </xf>
    <xf numFmtId="164" fontId="2" fillId="0" borderId="48" xfId="2" applyNumberFormat="1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4" fontId="2" fillId="0" borderId="11" xfId="2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28" xfId="0" applyBorder="1" applyAlignment="1">
      <alignment horizontal="left" vertical="center"/>
    </xf>
    <xf numFmtId="0" fontId="0" fillId="2" borderId="0" xfId="0" applyFill="1" applyAlignment="1">
      <alignment vertical="center"/>
    </xf>
    <xf numFmtId="164" fontId="2" fillId="0" borderId="1" xfId="0" applyNumberFormat="1" applyFont="1" applyBorder="1" applyAlignment="1">
      <alignment vertical="center"/>
    </xf>
    <xf numFmtId="9" fontId="2" fillId="0" borderId="28" xfId="0" applyNumberFormat="1" applyFont="1" applyBorder="1" applyAlignment="1">
      <alignment horizontal="left" vertical="center"/>
    </xf>
    <xf numFmtId="164" fontId="2" fillId="0" borderId="1" xfId="2" applyNumberFormat="1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164" fontId="2" fillId="0" borderId="17" xfId="0" applyNumberFormat="1" applyFont="1" applyBorder="1" applyAlignment="1">
      <alignment vertical="center"/>
    </xf>
    <xf numFmtId="9" fontId="2" fillId="0" borderId="30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9" fontId="2" fillId="0" borderId="49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5" xfId="0" applyFont="1" applyBorder="1" applyAlignment="1">
      <alignment vertical="center"/>
    </xf>
    <xf numFmtId="9" fontId="0" fillId="0" borderId="0" xfId="0" applyNumberFormat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49" xfId="0" applyBorder="1" applyAlignment="1">
      <alignment vertical="center"/>
    </xf>
    <xf numFmtId="164" fontId="0" fillId="0" borderId="0" xfId="2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41" xfId="0" applyFont="1" applyBorder="1" applyAlignment="1">
      <alignment vertical="center"/>
    </xf>
    <xf numFmtId="0" fontId="14" fillId="0" borderId="42" xfId="0" applyFont="1" applyBorder="1" applyAlignment="1">
      <alignment horizontal="center" vertical="center"/>
    </xf>
    <xf numFmtId="0" fontId="14" fillId="0" borderId="42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5" xfId="0" applyFont="1" applyBorder="1" applyAlignment="1">
      <alignment vertical="center"/>
    </xf>
    <xf numFmtId="0" fontId="14" fillId="0" borderId="18" xfId="0" applyFont="1" applyBorder="1" applyAlignment="1">
      <alignment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1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164" fontId="14" fillId="0" borderId="31" xfId="2" applyNumberFormat="1" applyFont="1" applyBorder="1" applyAlignment="1">
      <alignment vertical="center"/>
    </xf>
    <xf numFmtId="164" fontId="14" fillId="0" borderId="32" xfId="2" applyNumberFormat="1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64" fontId="14" fillId="0" borderId="27" xfId="2" applyNumberFormat="1" applyFont="1" applyBorder="1" applyAlignment="1">
      <alignment vertical="center"/>
    </xf>
    <xf numFmtId="164" fontId="14" fillId="0" borderId="28" xfId="2" applyNumberFormat="1" applyFont="1" applyBorder="1" applyAlignment="1">
      <alignment vertical="center"/>
    </xf>
    <xf numFmtId="164" fontId="14" fillId="0" borderId="7" xfId="2" applyNumberFormat="1" applyFont="1" applyBorder="1" applyAlignment="1">
      <alignment vertical="center"/>
    </xf>
    <xf numFmtId="164" fontId="14" fillId="0" borderId="29" xfId="2" applyNumberFormat="1" applyFont="1" applyBorder="1" applyAlignment="1">
      <alignment vertical="center"/>
    </xf>
    <xf numFmtId="164" fontId="14" fillId="0" borderId="30" xfId="2" applyNumberFormat="1" applyFont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4" fillId="0" borderId="53" xfId="0" applyFont="1" applyBorder="1" applyAlignment="1">
      <alignment horizontal="center" vertical="center"/>
    </xf>
    <xf numFmtId="164" fontId="12" fillId="0" borderId="2" xfId="2" applyNumberFormat="1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10" fontId="14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 shrinkToFit="1"/>
    </xf>
    <xf numFmtId="3" fontId="6" fillId="0" borderId="35" xfId="0" applyNumberFormat="1" applyFont="1" applyBorder="1" applyAlignment="1">
      <alignment horizontal="center" vertical="center" wrapText="1" shrinkToFit="1"/>
    </xf>
    <xf numFmtId="0" fontId="7" fillId="0" borderId="34" xfId="0" applyFont="1" applyBorder="1" applyAlignment="1">
      <alignment horizontal="center" vertical="center" wrapText="1"/>
    </xf>
    <xf numFmtId="3" fontId="6" fillId="0" borderId="28" xfId="0" applyNumberFormat="1" applyFont="1" applyBorder="1" applyAlignment="1">
      <alignment horizontal="center" vertical="center" wrapText="1" shrinkToFit="1"/>
    </xf>
    <xf numFmtId="165" fontId="4" fillId="0" borderId="10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 wrapText="1" shrinkToFit="1"/>
    </xf>
    <xf numFmtId="4" fontId="7" fillId="0" borderId="1" xfId="0" applyNumberFormat="1" applyFont="1" applyBorder="1" applyAlignment="1">
      <alignment horizontal="center" vertical="center" wrapText="1"/>
    </xf>
    <xf numFmtId="3" fontId="6" fillId="0" borderId="35" xfId="0" applyNumberFormat="1" applyFont="1" applyBorder="1" applyAlignment="1">
      <alignment horizontal="center" vertical="center" wrapText="1"/>
    </xf>
    <xf numFmtId="3" fontId="6" fillId="0" borderId="28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shrinkToFit="1"/>
    </xf>
    <xf numFmtId="0" fontId="5" fillId="0" borderId="14" xfId="0" applyFont="1" applyBorder="1" applyAlignment="1">
      <alignment horizontal="center" vertical="center" wrapText="1"/>
    </xf>
    <xf numFmtId="165" fontId="4" fillId="0" borderId="27" xfId="0" applyNumberFormat="1" applyFont="1" applyBorder="1" applyAlignment="1">
      <alignment horizontal="center" vertical="center" wrapText="1"/>
    </xf>
    <xf numFmtId="165" fontId="4" fillId="0" borderId="35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 shrinkToFit="1"/>
    </xf>
    <xf numFmtId="0" fontId="6" fillId="0" borderId="1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1" fontId="6" fillId="0" borderId="17" xfId="0" applyNumberFormat="1" applyFont="1" applyBorder="1" applyAlignment="1">
      <alignment horizontal="center" vertical="center" wrapText="1" shrinkToFit="1"/>
    </xf>
    <xf numFmtId="3" fontId="6" fillId="0" borderId="17" xfId="0" applyNumberFormat="1" applyFont="1" applyBorder="1" applyAlignment="1">
      <alignment horizontal="center" vertical="center" wrapText="1" shrinkToFit="1"/>
    </xf>
    <xf numFmtId="3" fontId="6" fillId="0" borderId="30" xfId="0" applyNumberFormat="1" applyFont="1" applyBorder="1" applyAlignment="1">
      <alignment horizontal="center" vertical="center" wrapText="1" shrinkToFit="1"/>
    </xf>
    <xf numFmtId="165" fontId="6" fillId="0" borderId="35" xfId="0" applyNumberFormat="1" applyFont="1" applyBorder="1" applyAlignment="1">
      <alignment horizontal="center" vertical="center" wrapText="1" shrinkToFit="1"/>
    </xf>
    <xf numFmtId="165" fontId="6" fillId="0" borderId="28" xfId="0" applyNumberFormat="1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28" xfId="0" applyNumberFormat="1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3" fontId="4" fillId="0" borderId="25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13" fillId="0" borderId="1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2" fillId="0" borderId="3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textRotation="90" wrapText="1" shrinkToFit="1"/>
    </xf>
    <xf numFmtId="0" fontId="7" fillId="0" borderId="0" xfId="0" applyFont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" fontId="6" fillId="4" borderId="17" xfId="0" applyNumberFormat="1" applyFont="1" applyFill="1" applyBorder="1" applyAlignment="1">
      <alignment horizontal="center" vertical="center" wrapText="1" shrinkToFit="1"/>
    </xf>
    <xf numFmtId="1" fontId="6" fillId="4" borderId="3" xfId="0" applyNumberFormat="1" applyFont="1" applyFill="1" applyBorder="1" applyAlignment="1">
      <alignment horizontal="center" vertical="center" wrapText="1" shrinkToFit="1"/>
    </xf>
    <xf numFmtId="4" fontId="6" fillId="0" borderId="1" xfId="0" applyNumberFormat="1" applyFont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/>
    </xf>
    <xf numFmtId="164" fontId="15" fillId="0" borderId="11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164" fontId="2" fillId="0" borderId="11" xfId="0" applyNumberFormat="1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6" fillId="0" borderId="28" xfId="0" applyNumberFormat="1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6" fillId="0" borderId="35" xfId="0" applyNumberFormat="1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center" vertical="center" textRotation="90" wrapText="1" shrinkToFit="1"/>
    </xf>
    <xf numFmtId="165" fontId="6" fillId="0" borderId="33" xfId="0" applyNumberFormat="1" applyFont="1" applyBorder="1" applyAlignment="1">
      <alignment horizontal="center" vertical="center" textRotation="90" wrapText="1" shrinkToFit="1"/>
    </xf>
    <xf numFmtId="165" fontId="6" fillId="0" borderId="9" xfId="0" applyNumberFormat="1" applyFont="1" applyBorder="1" applyAlignment="1">
      <alignment horizontal="center" vertical="center" textRotation="90" wrapText="1" shrinkToFit="1"/>
    </xf>
    <xf numFmtId="0" fontId="0" fillId="0" borderId="15" xfId="0" applyBorder="1" applyAlignment="1">
      <alignment horizontal="center" vertical="center" textRotation="90" wrapText="1"/>
    </xf>
    <xf numFmtId="0" fontId="0" fillId="0" borderId="33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</cellXfs>
  <cellStyles count="3">
    <cellStyle name="Comma" xfId="2" builtinId="3"/>
    <cellStyle name="Comma 2" xfId="1" xr:uid="{921D3B45-9807-4A71-8EC0-D92C3972C08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9A7B-7EE8-491C-BF98-8732AA3163B9}">
  <dimension ref="A1:R131"/>
  <sheetViews>
    <sheetView tabSelected="1" topLeftCell="I2" zoomScale="145" zoomScaleNormal="145" workbookViewId="0">
      <selection activeCell="P81" sqref="P81"/>
    </sheetView>
  </sheetViews>
  <sheetFormatPr defaultColWidth="8.85546875" defaultRowHeight="15" x14ac:dyDescent="0.25"/>
  <cols>
    <col min="1" max="2" width="8.85546875" style="13"/>
    <col min="3" max="3" width="25" style="13" customWidth="1"/>
    <col min="4" max="4" width="62.5703125" style="13" bestFit="1" customWidth="1"/>
    <col min="5" max="5" width="6.28515625" style="67" bestFit="1" customWidth="1"/>
    <col min="6" max="6" width="13.140625" style="67" customWidth="1"/>
    <col min="7" max="7" width="16.28515625" style="68" bestFit="1" customWidth="1"/>
    <col min="8" max="8" width="20.28515625" style="68" customWidth="1"/>
    <col min="9" max="9" width="15.28515625" style="68" customWidth="1"/>
    <col min="10" max="10" width="15.140625" style="68" customWidth="1"/>
    <col min="11" max="11" width="11.5703125" style="68" customWidth="1"/>
    <col min="12" max="12" width="16.140625" style="13" customWidth="1"/>
    <col min="13" max="13" width="11.7109375" style="13" customWidth="1"/>
    <col min="14" max="14" width="9.28515625" style="13" customWidth="1"/>
    <col min="15" max="15" width="12.42578125" style="13" customWidth="1"/>
    <col min="16" max="16" width="12.140625" style="13" bestFit="1" customWidth="1"/>
    <col min="17" max="17" width="71.85546875" style="13" bestFit="1" customWidth="1"/>
    <col min="18" max="16384" width="8.85546875" style="13"/>
  </cols>
  <sheetData>
    <row r="1" spans="1:17" ht="30" x14ac:dyDescent="0.25">
      <c r="A1" s="13" t="s">
        <v>278</v>
      </c>
      <c r="B1" s="14" t="s">
        <v>1</v>
      </c>
      <c r="C1" s="14" t="s">
        <v>2</v>
      </c>
      <c r="D1" s="15" t="s">
        <v>3</v>
      </c>
      <c r="E1" s="301" t="s">
        <v>17</v>
      </c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3"/>
      <c r="Q1" s="299"/>
    </row>
    <row r="2" spans="1:17" ht="75" x14ac:dyDescent="0.25">
      <c r="A2" s="13" t="s">
        <v>279</v>
      </c>
      <c r="B2" s="14"/>
      <c r="C2" s="14" t="s">
        <v>8</v>
      </c>
      <c r="D2" s="15" t="s">
        <v>9</v>
      </c>
      <c r="E2" s="16" t="s">
        <v>10</v>
      </c>
      <c r="F2" s="16" t="s">
        <v>11</v>
      </c>
      <c r="G2" s="17" t="s">
        <v>12</v>
      </c>
      <c r="H2" s="17" t="s">
        <v>177</v>
      </c>
      <c r="I2" s="17" t="s">
        <v>178</v>
      </c>
      <c r="J2" s="17" t="s">
        <v>179</v>
      </c>
      <c r="K2" s="17" t="s">
        <v>180</v>
      </c>
      <c r="L2" s="18" t="s">
        <v>181</v>
      </c>
      <c r="M2" s="18" t="s">
        <v>182</v>
      </c>
      <c r="N2" s="18" t="s">
        <v>183</v>
      </c>
      <c r="O2" s="15" t="s">
        <v>184</v>
      </c>
      <c r="P2" s="15" t="s">
        <v>185</v>
      </c>
      <c r="Q2" s="299"/>
    </row>
    <row r="3" spans="1:17" x14ac:dyDescent="0.25">
      <c r="B3" s="19"/>
      <c r="C3" s="19"/>
      <c r="D3" s="20"/>
      <c r="E3" s="21"/>
      <c r="F3" s="21"/>
      <c r="G3" s="3">
        <v>1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>
        <v>8</v>
      </c>
      <c r="O3" s="3">
        <v>9</v>
      </c>
      <c r="P3" s="3">
        <v>10</v>
      </c>
    </row>
    <row r="4" spans="1:17" ht="29.1" customHeight="1" x14ac:dyDescent="0.25">
      <c r="B4" s="22"/>
      <c r="C4" s="22"/>
      <c r="D4" s="8"/>
      <c r="E4" s="23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7" x14ac:dyDescent="0.25">
      <c r="B5" s="22"/>
      <c r="C5" s="22"/>
      <c r="D5" s="8"/>
      <c r="E5" s="25"/>
      <c r="F5" s="26"/>
      <c r="G5" s="27"/>
      <c r="H5" s="27"/>
      <c r="I5" s="27"/>
      <c r="J5" s="27"/>
      <c r="K5" s="27"/>
      <c r="L5" s="28"/>
      <c r="M5" s="28"/>
      <c r="N5" s="28"/>
      <c r="O5" s="8"/>
      <c r="P5" s="8"/>
    </row>
    <row r="6" spans="1:17" x14ac:dyDescent="0.25">
      <c r="B6" s="22"/>
      <c r="C6" s="22"/>
      <c r="D6" s="8"/>
      <c r="E6" s="25"/>
      <c r="F6" s="26"/>
      <c r="G6" s="27"/>
      <c r="H6" s="27"/>
      <c r="I6" s="27"/>
      <c r="J6" s="27"/>
      <c r="K6" s="27"/>
      <c r="L6" s="28"/>
      <c r="M6" s="28"/>
      <c r="N6" s="28"/>
      <c r="O6" s="8"/>
      <c r="P6" s="8"/>
    </row>
    <row r="7" spans="1:17" x14ac:dyDescent="0.25">
      <c r="B7" s="22"/>
      <c r="C7" s="22"/>
      <c r="D7" s="8"/>
      <c r="E7" s="25"/>
      <c r="F7" s="26"/>
      <c r="G7" s="27"/>
      <c r="H7" s="27"/>
      <c r="I7" s="27"/>
      <c r="J7" s="27"/>
      <c r="K7" s="27"/>
      <c r="L7" s="28"/>
      <c r="M7" s="28"/>
      <c r="N7" s="28"/>
      <c r="O7" s="8"/>
      <c r="P7" s="8"/>
    </row>
    <row r="8" spans="1:17" x14ac:dyDescent="0.25">
      <c r="B8" s="22"/>
      <c r="C8" s="22"/>
      <c r="D8" s="8"/>
      <c r="E8" s="25"/>
      <c r="F8" s="26"/>
      <c r="G8" s="27"/>
      <c r="H8" s="27"/>
      <c r="I8" s="27"/>
      <c r="J8" s="27"/>
      <c r="K8" s="27"/>
      <c r="L8" s="28"/>
      <c r="M8" s="28"/>
      <c r="N8" s="28"/>
      <c r="O8" s="8"/>
      <c r="P8" s="8"/>
    </row>
    <row r="9" spans="1:17" x14ac:dyDescent="0.25">
      <c r="B9" s="22"/>
      <c r="C9" s="22"/>
      <c r="D9" s="8"/>
      <c r="E9" s="25"/>
      <c r="F9" s="26"/>
      <c r="G9" s="27"/>
      <c r="H9" s="27">
        <v>0.15</v>
      </c>
      <c r="I9" s="27">
        <v>0.03</v>
      </c>
      <c r="J9" s="27">
        <v>0.05</v>
      </c>
      <c r="K9" s="27">
        <v>0.01</v>
      </c>
      <c r="L9" s="28"/>
      <c r="M9" s="28"/>
      <c r="N9" s="28"/>
      <c r="O9" s="8"/>
      <c r="P9" s="8"/>
    </row>
    <row r="10" spans="1:17" x14ac:dyDescent="0.25">
      <c r="B10" s="304" t="s">
        <v>165</v>
      </c>
      <c r="C10" s="19">
        <v>2</v>
      </c>
      <c r="D10" s="29" t="s">
        <v>30</v>
      </c>
      <c r="E10" s="21"/>
      <c r="F10" s="21"/>
      <c r="G10" s="30"/>
      <c r="H10" s="30"/>
      <c r="I10" s="30"/>
      <c r="J10" s="30"/>
      <c r="K10" s="30"/>
      <c r="L10" s="4"/>
      <c r="M10" s="4"/>
      <c r="N10" s="4"/>
      <c r="O10" s="4"/>
      <c r="P10" s="4"/>
    </row>
    <row r="11" spans="1:17" ht="45.75" customHeight="1" x14ac:dyDescent="0.25">
      <c r="B11" s="304"/>
      <c r="C11" s="31">
        <v>2.1</v>
      </c>
      <c r="D11" s="32" t="s">
        <v>31</v>
      </c>
      <c r="E11" s="25" t="s">
        <v>20</v>
      </c>
      <c r="F11" s="26">
        <v>6</v>
      </c>
      <c r="G11" s="33">
        <f>1528333</f>
        <v>1528333</v>
      </c>
      <c r="H11" s="33">
        <f>G11*15%</f>
        <v>229249.94999999998</v>
      </c>
      <c r="I11" s="33">
        <f>G11*3%</f>
        <v>45849.99</v>
      </c>
      <c r="J11" s="33">
        <f>G11*5%</f>
        <v>76416.650000000009</v>
      </c>
      <c r="K11" s="33">
        <f>G11*1%</f>
        <v>15283.33</v>
      </c>
      <c r="L11" s="34">
        <f>SUM(G11:K11)</f>
        <v>1895132.92</v>
      </c>
      <c r="M11" s="34">
        <f>L11*10%</f>
        <v>189513.29200000002</v>
      </c>
      <c r="N11" s="34">
        <f>M11+L11</f>
        <v>2084646.2119999998</v>
      </c>
      <c r="O11" s="32">
        <f>N11*1%</f>
        <v>20846.46212</v>
      </c>
      <c r="P11" s="12">
        <f>N11+O11</f>
        <v>2105492.6741199996</v>
      </c>
      <c r="Q11" s="35" t="s">
        <v>186</v>
      </c>
    </row>
    <row r="12" spans="1:17" ht="105" x14ac:dyDescent="0.25">
      <c r="B12" s="304"/>
      <c r="C12" s="31">
        <v>2.2000000000000002</v>
      </c>
      <c r="D12" s="8" t="s">
        <v>32</v>
      </c>
      <c r="E12" s="21"/>
      <c r="F12" s="21"/>
      <c r="G12" s="30"/>
      <c r="H12" s="30"/>
      <c r="I12" s="30"/>
      <c r="J12" s="30"/>
      <c r="K12" s="30"/>
      <c r="L12" s="3"/>
      <c r="M12" s="3"/>
      <c r="N12" s="3"/>
      <c r="O12" s="4"/>
      <c r="P12" s="4"/>
    </row>
    <row r="13" spans="1:17" x14ac:dyDescent="0.25">
      <c r="B13" s="304"/>
      <c r="C13" s="22" t="s">
        <v>15</v>
      </c>
      <c r="D13" s="8" t="s">
        <v>33</v>
      </c>
      <c r="E13" s="25" t="s">
        <v>20</v>
      </c>
      <c r="F13" s="26">
        <v>10</v>
      </c>
      <c r="G13" s="27">
        <v>188123</v>
      </c>
      <c r="H13" s="33">
        <f>G13*15%</f>
        <v>28218.45</v>
      </c>
      <c r="I13" s="33">
        <f>G13*3%</f>
        <v>5643.69</v>
      </c>
      <c r="J13" s="33">
        <f>G13*5%</f>
        <v>9406.15</v>
      </c>
      <c r="K13" s="33">
        <f>G13*1%</f>
        <v>1881.23</v>
      </c>
      <c r="L13" s="34">
        <f>SUM(G13:K13)</f>
        <v>233272.52000000002</v>
      </c>
      <c r="M13" s="34">
        <f>L13*10%</f>
        <v>23327.252000000004</v>
      </c>
      <c r="N13" s="34">
        <f>M13+L13</f>
        <v>256599.77200000003</v>
      </c>
      <c r="O13" s="32">
        <f>N13*1%</f>
        <v>2565.9977200000003</v>
      </c>
      <c r="P13" s="12">
        <f>N13+O13</f>
        <v>259165.76972000004</v>
      </c>
      <c r="Q13" s="13" t="s">
        <v>187</v>
      </c>
    </row>
    <row r="14" spans="1:17" ht="30" x14ac:dyDescent="0.25">
      <c r="B14" s="304"/>
      <c r="C14" s="22" t="s">
        <v>34</v>
      </c>
      <c r="D14" s="4" t="s">
        <v>35</v>
      </c>
      <c r="E14" s="25" t="s">
        <v>20</v>
      </c>
      <c r="F14" s="26">
        <v>7</v>
      </c>
      <c r="G14" s="27">
        <v>236843</v>
      </c>
      <c r="H14" s="33">
        <f>G14*15%</f>
        <v>35526.449999999997</v>
      </c>
      <c r="I14" s="33">
        <f>G14*3%</f>
        <v>7105.29</v>
      </c>
      <c r="J14" s="33">
        <f>G14*5%</f>
        <v>11842.150000000001</v>
      </c>
      <c r="K14" s="33">
        <f>G14*1%</f>
        <v>2368.4299999999998</v>
      </c>
      <c r="L14" s="34">
        <f>SUM(G14:K14)</f>
        <v>293685.32</v>
      </c>
      <c r="M14" s="34">
        <f>L14*10%</f>
        <v>29368.532000000003</v>
      </c>
      <c r="N14" s="34">
        <f>M14+L14</f>
        <v>323053.85200000001</v>
      </c>
      <c r="O14" s="32">
        <f>N14*1%</f>
        <v>3230.5385200000001</v>
      </c>
      <c r="P14" s="12">
        <f>N14+O14</f>
        <v>326284.39052000002</v>
      </c>
      <c r="Q14" s="13" t="s">
        <v>187</v>
      </c>
    </row>
    <row r="15" spans="1:17" ht="30" x14ac:dyDescent="0.25">
      <c r="B15" s="304"/>
      <c r="C15" s="22" t="s">
        <v>36</v>
      </c>
      <c r="D15" s="36" t="s">
        <v>37</v>
      </c>
      <c r="E15" s="25" t="s">
        <v>20</v>
      </c>
      <c r="F15" s="26">
        <v>9</v>
      </c>
      <c r="G15" s="33">
        <f>G14</f>
        <v>236843</v>
      </c>
      <c r="H15" s="33">
        <f>G15*15%</f>
        <v>35526.449999999997</v>
      </c>
      <c r="I15" s="33">
        <f>G15*3%</f>
        <v>7105.29</v>
      </c>
      <c r="J15" s="33">
        <f>G15*5%</f>
        <v>11842.150000000001</v>
      </c>
      <c r="K15" s="33">
        <f>G15*1%</f>
        <v>2368.4299999999998</v>
      </c>
      <c r="L15" s="34">
        <f>SUM(G15:K15)</f>
        <v>293685.32</v>
      </c>
      <c r="M15" s="34">
        <f>L15*10%</f>
        <v>29368.532000000003</v>
      </c>
      <c r="N15" s="34">
        <f>M15+L15</f>
        <v>323053.85200000001</v>
      </c>
      <c r="O15" s="32">
        <f>N15*1%</f>
        <v>3230.5385200000001</v>
      </c>
      <c r="P15" s="12">
        <f>N15+O15</f>
        <v>326284.39052000002</v>
      </c>
      <c r="Q15" s="35" t="s">
        <v>187</v>
      </c>
    </row>
    <row r="16" spans="1:17" x14ac:dyDescent="0.25">
      <c r="B16" s="304"/>
      <c r="C16" s="31">
        <v>2.2999999999999998</v>
      </c>
      <c r="D16" s="32" t="s">
        <v>38</v>
      </c>
      <c r="E16" s="25" t="s">
        <v>20</v>
      </c>
      <c r="F16" s="26">
        <v>15</v>
      </c>
      <c r="G16" s="33">
        <f>G15</f>
        <v>236843</v>
      </c>
      <c r="H16" s="33">
        <f>G16*15%</f>
        <v>35526.449999999997</v>
      </c>
      <c r="I16" s="33">
        <f>G16*3%</f>
        <v>7105.29</v>
      </c>
      <c r="J16" s="33">
        <f>G16*5%</f>
        <v>11842.150000000001</v>
      </c>
      <c r="K16" s="33">
        <f>G16*1%</f>
        <v>2368.4299999999998</v>
      </c>
      <c r="L16" s="34">
        <f>SUM(G16:K16)</f>
        <v>293685.32</v>
      </c>
      <c r="M16" s="34">
        <f>L16*10%</f>
        <v>29368.532000000003</v>
      </c>
      <c r="N16" s="34">
        <f>M16+L16</f>
        <v>323053.85200000001</v>
      </c>
      <c r="O16" s="32">
        <f>N16*1%</f>
        <v>3230.5385200000001</v>
      </c>
      <c r="P16" s="12">
        <f>N16+O16</f>
        <v>326284.39052000002</v>
      </c>
      <c r="Q16" s="35" t="s">
        <v>188</v>
      </c>
    </row>
    <row r="17" spans="2:17" ht="30" x14ac:dyDescent="0.25">
      <c r="B17" s="304"/>
      <c r="C17" s="31">
        <v>2.4</v>
      </c>
      <c r="D17" s="20" t="s">
        <v>39</v>
      </c>
      <c r="E17" s="21"/>
      <c r="F17" s="21"/>
      <c r="G17" s="30"/>
      <c r="H17" s="30"/>
      <c r="I17" s="30"/>
      <c r="J17" s="30"/>
      <c r="K17" s="30"/>
      <c r="L17" s="3"/>
      <c r="M17" s="3"/>
      <c r="N17" s="3"/>
      <c r="O17" s="4"/>
      <c r="P17" s="4"/>
    </row>
    <row r="18" spans="2:17" x14ac:dyDescent="0.25">
      <c r="B18" s="304"/>
      <c r="C18" s="22" t="s">
        <v>15</v>
      </c>
      <c r="D18" s="8" t="s">
        <v>40</v>
      </c>
      <c r="E18" s="25" t="s">
        <v>20</v>
      </c>
      <c r="F18" s="26">
        <v>9</v>
      </c>
      <c r="G18" s="27">
        <v>72600</v>
      </c>
      <c r="H18" s="33">
        <f>G18*15%</f>
        <v>10890</v>
      </c>
      <c r="I18" s="33">
        <f>G18*3%</f>
        <v>2178</v>
      </c>
      <c r="J18" s="33">
        <f>G18*5%</f>
        <v>3630</v>
      </c>
      <c r="K18" s="33">
        <f>G18*1%</f>
        <v>726</v>
      </c>
      <c r="L18" s="34">
        <f>SUM(G18:K18)</f>
        <v>90024</v>
      </c>
      <c r="M18" s="34">
        <f>L18*10%</f>
        <v>9002.4</v>
      </c>
      <c r="N18" s="34">
        <f>M18+L18</f>
        <v>99026.4</v>
      </c>
      <c r="O18" s="32">
        <f>N18*1%</f>
        <v>990.26400000000001</v>
      </c>
      <c r="P18" s="12">
        <f>N18+O18</f>
        <v>100016.66399999999</v>
      </c>
      <c r="Q18" s="13" t="s">
        <v>187</v>
      </c>
    </row>
    <row r="19" spans="2:17" x14ac:dyDescent="0.25">
      <c r="B19" s="304"/>
      <c r="C19" s="22" t="s">
        <v>34</v>
      </c>
      <c r="D19" s="8" t="s">
        <v>41</v>
      </c>
      <c r="E19" s="25" t="s">
        <v>20</v>
      </c>
      <c r="F19" s="26">
        <v>12</v>
      </c>
      <c r="G19" s="27">
        <v>78100</v>
      </c>
      <c r="H19" s="33">
        <f>G19*15%</f>
        <v>11715</v>
      </c>
      <c r="I19" s="33">
        <f>G19*3%</f>
        <v>2343</v>
      </c>
      <c r="J19" s="33">
        <f>G19*5%</f>
        <v>3905</v>
      </c>
      <c r="K19" s="33">
        <f>G19*1%</f>
        <v>781</v>
      </c>
      <c r="L19" s="34">
        <f>SUM(G19:K19)</f>
        <v>96844</v>
      </c>
      <c r="M19" s="34">
        <f>L19*10%</f>
        <v>9684.4</v>
      </c>
      <c r="N19" s="34">
        <f>M19+L19</f>
        <v>106528.4</v>
      </c>
      <c r="O19" s="32">
        <f>N19*1%</f>
        <v>1065.2839999999999</v>
      </c>
      <c r="P19" s="12">
        <f>N19+O19</f>
        <v>107593.68399999999</v>
      </c>
      <c r="Q19" s="13" t="s">
        <v>187</v>
      </c>
    </row>
    <row r="20" spans="2:17" ht="30" x14ac:dyDescent="0.25">
      <c r="B20" s="304"/>
      <c r="C20" s="31">
        <v>2.5</v>
      </c>
      <c r="D20" s="32" t="s">
        <v>42</v>
      </c>
      <c r="E20" s="25" t="s">
        <v>20</v>
      </c>
      <c r="F20" s="26">
        <v>12</v>
      </c>
      <c r="G20" s="33">
        <f>53883</f>
        <v>53883</v>
      </c>
      <c r="H20" s="33">
        <f>G20*15%</f>
        <v>8082.45</v>
      </c>
      <c r="I20" s="33">
        <f>G20*3%</f>
        <v>1616.49</v>
      </c>
      <c r="J20" s="33">
        <f>G20*5%</f>
        <v>2694.15</v>
      </c>
      <c r="K20" s="33">
        <f>G20*1%</f>
        <v>538.83000000000004</v>
      </c>
      <c r="L20" s="34">
        <f>SUM(G20:K20)</f>
        <v>66814.92</v>
      </c>
      <c r="M20" s="34">
        <f>L20*10%</f>
        <v>6681.4920000000002</v>
      </c>
      <c r="N20" s="34">
        <f>M20+L20</f>
        <v>73496.411999999997</v>
      </c>
      <c r="O20" s="32">
        <f>N20*1%</f>
        <v>734.96411999999998</v>
      </c>
      <c r="P20" s="12">
        <f>N20+O20</f>
        <v>74231.376120000001</v>
      </c>
      <c r="Q20" s="35" t="s">
        <v>189</v>
      </c>
    </row>
    <row r="21" spans="2:17" x14ac:dyDescent="0.25">
      <c r="B21" s="304"/>
      <c r="C21" s="31">
        <v>2.6</v>
      </c>
      <c r="D21" s="32" t="s">
        <v>43</v>
      </c>
      <c r="E21" s="25" t="s">
        <v>20</v>
      </c>
      <c r="F21" s="26">
        <v>6</v>
      </c>
      <c r="G21" s="33">
        <f>53883</f>
        <v>53883</v>
      </c>
      <c r="H21" s="33">
        <f>G21*15%</f>
        <v>8082.45</v>
      </c>
      <c r="I21" s="33">
        <f>G21*3%</f>
        <v>1616.49</v>
      </c>
      <c r="J21" s="33">
        <f>G21*5%</f>
        <v>2694.15</v>
      </c>
      <c r="K21" s="33">
        <f>G21*1%</f>
        <v>538.83000000000004</v>
      </c>
      <c r="L21" s="34">
        <f>SUM(G21:K21)</f>
        <v>66814.92</v>
      </c>
      <c r="M21" s="34">
        <f>L21*10%</f>
        <v>6681.4920000000002</v>
      </c>
      <c r="N21" s="34">
        <f>M21+L21</f>
        <v>73496.411999999997</v>
      </c>
      <c r="O21" s="32">
        <f>N21*1%</f>
        <v>734.96411999999998</v>
      </c>
      <c r="P21" s="12">
        <f>N21+O21</f>
        <v>74231.376120000001</v>
      </c>
      <c r="Q21" s="35" t="s">
        <v>189</v>
      </c>
    </row>
    <row r="22" spans="2:17" ht="103.5" customHeight="1" x14ac:dyDescent="0.25">
      <c r="B22" s="304"/>
      <c r="C22" s="31">
        <v>2.7</v>
      </c>
      <c r="D22" s="32" t="s">
        <v>44</v>
      </c>
      <c r="E22" s="25" t="s">
        <v>20</v>
      </c>
      <c r="F22" s="26">
        <v>6</v>
      </c>
      <c r="G22" s="33">
        <f>22372.54+1882.43</f>
        <v>24254.97</v>
      </c>
      <c r="H22" s="33"/>
      <c r="I22" s="33"/>
      <c r="J22" s="33"/>
      <c r="K22" s="33"/>
      <c r="L22" s="34">
        <f>F22*G22</f>
        <v>145529.82</v>
      </c>
      <c r="M22" s="34"/>
      <c r="N22" s="34"/>
      <c r="O22" s="32" t="s">
        <v>20</v>
      </c>
      <c r="P22" s="32"/>
      <c r="Q22" s="35" t="s">
        <v>190</v>
      </c>
    </row>
    <row r="23" spans="2:17" ht="30" x14ac:dyDescent="0.25">
      <c r="B23" s="304"/>
      <c r="C23" s="19">
        <v>3</v>
      </c>
      <c r="D23" s="29" t="s">
        <v>45</v>
      </c>
      <c r="E23" s="21"/>
      <c r="F23" s="21"/>
      <c r="G23" s="30"/>
      <c r="H23" s="30"/>
      <c r="I23" s="30"/>
      <c r="J23" s="30"/>
      <c r="K23" s="30"/>
      <c r="L23" s="3"/>
      <c r="M23" s="3"/>
      <c r="N23" s="3"/>
      <c r="O23" s="4"/>
      <c r="P23" s="4"/>
    </row>
    <row r="24" spans="2:17" ht="94.5" customHeight="1" x14ac:dyDescent="0.25">
      <c r="B24" s="304"/>
      <c r="C24" s="31">
        <v>3.1</v>
      </c>
      <c r="D24" s="32" t="s">
        <v>46</v>
      </c>
      <c r="E24" s="25" t="s">
        <v>47</v>
      </c>
      <c r="F24" s="26">
        <v>12</v>
      </c>
      <c r="G24" s="33">
        <f>1228*1.2</f>
        <v>1473.6</v>
      </c>
      <c r="H24" s="33"/>
      <c r="I24" s="33"/>
      <c r="J24" s="33"/>
      <c r="K24" s="33"/>
      <c r="L24" s="34">
        <f>F24*G24</f>
        <v>17683.199999999997</v>
      </c>
      <c r="M24" s="34"/>
      <c r="N24" s="34"/>
      <c r="O24" s="32" t="s">
        <v>47</v>
      </c>
      <c r="P24" s="32"/>
      <c r="Q24" s="35" t="s">
        <v>191</v>
      </c>
    </row>
    <row r="25" spans="2:17" ht="67.5" customHeight="1" x14ac:dyDescent="0.25">
      <c r="B25" s="304"/>
      <c r="C25" s="31">
        <v>3.2</v>
      </c>
      <c r="D25" s="32" t="s">
        <v>192</v>
      </c>
      <c r="E25" s="25" t="s">
        <v>20</v>
      </c>
      <c r="F25" s="26">
        <v>12</v>
      </c>
      <c r="G25" s="33">
        <f>1104*1.2</f>
        <v>1324.8</v>
      </c>
      <c r="H25" s="33"/>
      <c r="I25" s="33"/>
      <c r="J25" s="33"/>
      <c r="K25" s="33"/>
      <c r="L25" s="34">
        <f>F25*G25</f>
        <v>15897.599999999999</v>
      </c>
      <c r="M25" s="34"/>
      <c r="N25" s="34"/>
      <c r="O25" s="32" t="s">
        <v>20</v>
      </c>
      <c r="P25" s="32"/>
      <c r="Q25" s="35" t="s">
        <v>191</v>
      </c>
    </row>
    <row r="26" spans="2:17" ht="60" x14ac:dyDescent="0.25">
      <c r="B26" s="304"/>
      <c r="C26" s="19">
        <v>4</v>
      </c>
      <c r="D26" s="20" t="s">
        <v>49</v>
      </c>
      <c r="E26" s="37" t="s">
        <v>50</v>
      </c>
      <c r="F26" s="37">
        <v>1</v>
      </c>
      <c r="G26" s="38">
        <v>150000</v>
      </c>
      <c r="H26" s="38"/>
      <c r="I26" s="38"/>
      <c r="J26" s="38"/>
      <c r="K26" s="38"/>
      <c r="L26" s="5">
        <f>G26*F26</f>
        <v>150000</v>
      </c>
      <c r="M26" s="5"/>
      <c r="N26" s="5"/>
      <c r="O26" s="5" t="s">
        <v>50</v>
      </c>
      <c r="P26" s="5"/>
    </row>
    <row r="27" spans="2:17" x14ac:dyDescent="0.25">
      <c r="B27" s="304"/>
      <c r="C27" s="39"/>
      <c r="D27" s="20" t="s">
        <v>51</v>
      </c>
      <c r="E27" s="21"/>
      <c r="F27" s="21"/>
      <c r="G27" s="30"/>
      <c r="H27" s="30"/>
      <c r="I27" s="30"/>
      <c r="J27" s="30"/>
      <c r="K27" s="30"/>
      <c r="L27" s="3"/>
      <c r="M27" s="3"/>
      <c r="N27" s="3"/>
      <c r="O27" s="4"/>
      <c r="P27" s="4"/>
    </row>
    <row r="28" spans="2:17" ht="30" x14ac:dyDescent="0.25">
      <c r="B28" s="304"/>
      <c r="C28" s="40"/>
      <c r="D28" s="20" t="s">
        <v>52</v>
      </c>
      <c r="E28" s="21"/>
      <c r="F28" s="21"/>
      <c r="G28" s="30"/>
      <c r="H28" s="30"/>
      <c r="I28" s="30"/>
      <c r="J28" s="30"/>
      <c r="K28" s="30"/>
      <c r="L28" s="3"/>
      <c r="M28" s="3"/>
      <c r="N28" s="3"/>
      <c r="O28" s="4"/>
      <c r="P28" s="4"/>
    </row>
    <row r="29" spans="2:17" x14ac:dyDescent="0.25">
      <c r="B29" s="304"/>
      <c r="C29" s="19">
        <v>5</v>
      </c>
      <c r="D29" s="20" t="s">
        <v>53</v>
      </c>
      <c r="E29" s="21"/>
      <c r="F29" s="21"/>
      <c r="G29" s="30"/>
      <c r="H29" s="30"/>
      <c r="I29" s="30"/>
      <c r="J29" s="30"/>
      <c r="K29" s="30"/>
      <c r="L29" s="3"/>
      <c r="M29" s="3"/>
      <c r="N29" s="3"/>
      <c r="O29" s="4"/>
      <c r="P29" s="4"/>
    </row>
    <row r="30" spans="2:17" x14ac:dyDescent="0.25">
      <c r="B30" s="304"/>
      <c r="C30" s="31">
        <v>5.0999999999999996</v>
      </c>
      <c r="D30" s="20" t="s">
        <v>54</v>
      </c>
      <c r="E30" s="21"/>
      <c r="F30" s="21"/>
      <c r="G30" s="30"/>
      <c r="H30" s="30"/>
      <c r="I30" s="30"/>
      <c r="J30" s="30"/>
      <c r="K30" s="30"/>
      <c r="L30" s="3"/>
      <c r="M30" s="3"/>
      <c r="N30" s="3"/>
      <c r="O30" s="4"/>
      <c r="P30" s="4"/>
    </row>
    <row r="31" spans="2:17" ht="45" x14ac:dyDescent="0.25">
      <c r="B31" s="304"/>
      <c r="C31" s="22" t="s">
        <v>15</v>
      </c>
      <c r="D31" s="8" t="s">
        <v>55</v>
      </c>
      <c r="E31" s="21"/>
      <c r="F31" s="21"/>
      <c r="G31" s="30"/>
      <c r="H31" s="30"/>
      <c r="I31" s="30"/>
      <c r="J31" s="30"/>
      <c r="K31" s="30"/>
      <c r="L31" s="3"/>
      <c r="M31" s="3"/>
      <c r="N31" s="3"/>
      <c r="O31" s="4"/>
      <c r="P31" s="4"/>
    </row>
    <row r="32" spans="2:17" ht="45" x14ac:dyDescent="0.25">
      <c r="B32" s="304"/>
      <c r="C32" s="22" t="s">
        <v>56</v>
      </c>
      <c r="D32" s="8" t="s">
        <v>57</v>
      </c>
      <c r="E32" s="25" t="s">
        <v>58</v>
      </c>
      <c r="F32" s="26">
        <f>3*50*2</f>
        <v>300</v>
      </c>
      <c r="G32" s="27">
        <v>3000</v>
      </c>
      <c r="H32" s="27"/>
      <c r="I32" s="27"/>
      <c r="J32" s="27"/>
      <c r="K32" s="27"/>
      <c r="L32" s="28">
        <f>F32*G32</f>
        <v>900000</v>
      </c>
      <c r="M32" s="28"/>
      <c r="N32" s="28"/>
      <c r="O32" s="8" t="s">
        <v>58</v>
      </c>
      <c r="P32" s="8"/>
      <c r="Q32" s="13" t="s">
        <v>193</v>
      </c>
    </row>
    <row r="33" spans="2:17" ht="63.75" x14ac:dyDescent="0.25">
      <c r="B33" s="304"/>
      <c r="C33" s="22" t="s">
        <v>59</v>
      </c>
      <c r="D33" s="8" t="s">
        <v>60</v>
      </c>
      <c r="E33" s="25" t="s">
        <v>47</v>
      </c>
      <c r="F33" s="26">
        <v>6</v>
      </c>
      <c r="G33" s="27">
        <v>10000</v>
      </c>
      <c r="H33" s="27"/>
      <c r="I33" s="27"/>
      <c r="J33" s="27"/>
      <c r="K33" s="27"/>
      <c r="L33" s="28">
        <f>F33*G33</f>
        <v>60000</v>
      </c>
      <c r="M33" s="28"/>
      <c r="N33" s="28"/>
      <c r="O33" s="8" t="s">
        <v>47</v>
      </c>
      <c r="P33" s="8"/>
    </row>
    <row r="34" spans="2:17" ht="75" x14ac:dyDescent="0.25">
      <c r="B34" s="304"/>
      <c r="C34" s="22" t="s">
        <v>34</v>
      </c>
      <c r="D34" s="8" t="s">
        <v>194</v>
      </c>
      <c r="E34" s="21"/>
      <c r="F34" s="21"/>
      <c r="G34" s="30"/>
      <c r="H34" s="30"/>
      <c r="I34" s="30"/>
      <c r="J34" s="30"/>
      <c r="K34" s="30"/>
      <c r="L34" s="3"/>
      <c r="M34" s="3"/>
      <c r="N34" s="3"/>
      <c r="O34" s="4"/>
      <c r="P34" s="4"/>
    </row>
    <row r="35" spans="2:17" ht="30" x14ac:dyDescent="0.25">
      <c r="B35" s="304"/>
      <c r="C35" s="22" t="s">
        <v>56</v>
      </c>
      <c r="D35" s="8" t="s">
        <v>62</v>
      </c>
      <c r="E35" s="25" t="s">
        <v>58</v>
      </c>
      <c r="F35" s="26">
        <v>250</v>
      </c>
      <c r="G35" s="27">
        <v>193</v>
      </c>
      <c r="H35" s="27"/>
      <c r="I35" s="27"/>
      <c r="J35" s="27"/>
      <c r="K35" s="27"/>
      <c r="L35" s="28">
        <f t="shared" ref="L35:L41" si="0">F35*G35</f>
        <v>48250</v>
      </c>
      <c r="M35" s="28"/>
      <c r="N35" s="28"/>
      <c r="O35" s="8" t="s">
        <v>58</v>
      </c>
      <c r="P35" s="8"/>
      <c r="Q35" s="13" t="s">
        <v>195</v>
      </c>
    </row>
    <row r="36" spans="2:17" ht="30" x14ac:dyDescent="0.25">
      <c r="B36" s="304"/>
      <c r="C36" s="22" t="s">
        <v>59</v>
      </c>
      <c r="D36" s="8" t="s">
        <v>63</v>
      </c>
      <c r="E36" s="25" t="s">
        <v>58</v>
      </c>
      <c r="F36" s="26">
        <v>200</v>
      </c>
      <c r="G36" s="27">
        <v>213</v>
      </c>
      <c r="H36" s="27"/>
      <c r="I36" s="27"/>
      <c r="J36" s="27"/>
      <c r="K36" s="27"/>
      <c r="L36" s="28">
        <f t="shared" si="0"/>
        <v>42600</v>
      </c>
      <c r="M36" s="28"/>
      <c r="N36" s="28"/>
      <c r="O36" s="8" t="s">
        <v>58</v>
      </c>
      <c r="P36" s="8"/>
      <c r="Q36" s="13" t="s">
        <v>195</v>
      </c>
    </row>
    <row r="37" spans="2:17" s="47" customFormat="1" ht="45" x14ac:dyDescent="0.25">
      <c r="B37" s="304"/>
      <c r="C37" s="41" t="s">
        <v>64</v>
      </c>
      <c r="D37" s="42" t="s">
        <v>65</v>
      </c>
      <c r="E37" s="42" t="s">
        <v>58</v>
      </c>
      <c r="F37" s="43">
        <v>50</v>
      </c>
      <c r="G37" s="44">
        <v>494</v>
      </c>
      <c r="H37" s="44"/>
      <c r="I37" s="44"/>
      <c r="J37" s="44"/>
      <c r="K37" s="44"/>
      <c r="L37" s="45">
        <f t="shared" si="0"/>
        <v>24700</v>
      </c>
      <c r="M37" s="45">
        <f>G37*10%</f>
        <v>49.400000000000006</v>
      </c>
      <c r="N37" s="45">
        <f>M37+G37</f>
        <v>543.4</v>
      </c>
      <c r="O37" s="42">
        <f>N37*1%</f>
        <v>5.4340000000000002</v>
      </c>
      <c r="P37" s="46">
        <f>O37+N37</f>
        <v>548.83399999999995</v>
      </c>
      <c r="Q37" s="47" t="s">
        <v>196</v>
      </c>
    </row>
    <row r="38" spans="2:17" s="47" customFormat="1" ht="17.25" customHeight="1" x14ac:dyDescent="0.25">
      <c r="B38" s="304"/>
      <c r="C38" s="41" t="s">
        <v>36</v>
      </c>
      <c r="D38" s="42" t="s">
        <v>66</v>
      </c>
      <c r="E38" s="42" t="s">
        <v>58</v>
      </c>
      <c r="F38" s="43">
        <v>20</v>
      </c>
      <c r="G38" s="44">
        <v>381</v>
      </c>
      <c r="H38" s="44"/>
      <c r="I38" s="44"/>
      <c r="J38" s="44"/>
      <c r="K38" s="44"/>
      <c r="L38" s="45">
        <f t="shared" si="0"/>
        <v>7620</v>
      </c>
      <c r="M38" s="45">
        <f t="shared" ref="M38:M39" si="1">G38*10%</f>
        <v>38.1</v>
      </c>
      <c r="N38" s="45">
        <f t="shared" ref="N38:N39" si="2">M38+G38</f>
        <v>419.1</v>
      </c>
      <c r="O38" s="42">
        <f t="shared" ref="O38:O39" si="3">N38*1%</f>
        <v>4.1910000000000007</v>
      </c>
      <c r="P38" s="46">
        <f t="shared" ref="P38:P39" si="4">O38+N38</f>
        <v>423.291</v>
      </c>
      <c r="Q38" s="47" t="s">
        <v>196</v>
      </c>
    </row>
    <row r="39" spans="2:17" s="47" customFormat="1" ht="63.75" x14ac:dyDescent="0.25">
      <c r="B39" s="304"/>
      <c r="C39" s="41" t="s">
        <v>67</v>
      </c>
      <c r="D39" s="42" t="s">
        <v>68</v>
      </c>
      <c r="E39" s="42" t="s">
        <v>58</v>
      </c>
      <c r="F39" s="43">
        <v>300</v>
      </c>
      <c r="G39" s="44">
        <v>381</v>
      </c>
      <c r="H39" s="44"/>
      <c r="I39" s="44"/>
      <c r="J39" s="44"/>
      <c r="K39" s="44"/>
      <c r="L39" s="45">
        <f t="shared" si="0"/>
        <v>114300</v>
      </c>
      <c r="M39" s="45">
        <f t="shared" si="1"/>
        <v>38.1</v>
      </c>
      <c r="N39" s="45">
        <f t="shared" si="2"/>
        <v>419.1</v>
      </c>
      <c r="O39" s="42">
        <f t="shared" si="3"/>
        <v>4.1910000000000007</v>
      </c>
      <c r="P39" s="46">
        <f t="shared" si="4"/>
        <v>423.291</v>
      </c>
      <c r="Q39" s="47" t="s">
        <v>196</v>
      </c>
    </row>
    <row r="40" spans="2:17" ht="45" x14ac:dyDescent="0.25">
      <c r="B40" s="304"/>
      <c r="C40" s="22" t="s">
        <v>69</v>
      </c>
      <c r="D40" s="8" t="s">
        <v>70</v>
      </c>
      <c r="E40" s="25" t="s">
        <v>58</v>
      </c>
      <c r="F40" s="26">
        <v>25</v>
      </c>
      <c r="G40" s="27">
        <v>1050</v>
      </c>
      <c r="H40" s="27"/>
      <c r="I40" s="27"/>
      <c r="J40" s="27"/>
      <c r="K40" s="27"/>
      <c r="L40" s="28">
        <f t="shared" si="0"/>
        <v>26250</v>
      </c>
      <c r="M40" s="28"/>
      <c r="N40" s="28"/>
      <c r="O40" s="8" t="s">
        <v>58</v>
      </c>
      <c r="P40" s="8"/>
      <c r="Q40" s="13" t="s">
        <v>193</v>
      </c>
    </row>
    <row r="41" spans="2:17" ht="30" x14ac:dyDescent="0.25">
      <c r="B41" s="304"/>
      <c r="C41" s="22" t="s">
        <v>71</v>
      </c>
      <c r="D41" s="8" t="s">
        <v>72</v>
      </c>
      <c r="E41" s="25" t="s">
        <v>73</v>
      </c>
      <c r="F41" s="26">
        <v>1</v>
      </c>
      <c r="G41" s="27">
        <v>30000</v>
      </c>
      <c r="H41" s="27"/>
      <c r="I41" s="27"/>
      <c r="J41" s="27"/>
      <c r="K41" s="27"/>
      <c r="L41" s="28">
        <f t="shared" si="0"/>
        <v>30000</v>
      </c>
      <c r="M41" s="28"/>
      <c r="N41" s="28"/>
      <c r="O41" s="8" t="s">
        <v>73</v>
      </c>
      <c r="P41" s="8"/>
    </row>
    <row r="42" spans="2:17" x14ac:dyDescent="0.25">
      <c r="B42" s="304"/>
      <c r="C42" s="31">
        <v>5.2</v>
      </c>
      <c r="D42" s="20" t="s">
        <v>74</v>
      </c>
      <c r="E42" s="21"/>
      <c r="F42" s="21"/>
      <c r="G42" s="30"/>
      <c r="H42" s="30"/>
      <c r="I42" s="30"/>
      <c r="J42" s="30"/>
      <c r="K42" s="30"/>
      <c r="L42" s="3"/>
      <c r="M42" s="3"/>
      <c r="N42" s="3"/>
      <c r="O42" s="4"/>
      <c r="P42" s="4"/>
    </row>
    <row r="43" spans="2:17" ht="90" x14ac:dyDescent="0.25">
      <c r="B43" s="304"/>
      <c r="C43" s="22" t="s">
        <v>15</v>
      </c>
      <c r="D43" s="8" t="s">
        <v>170</v>
      </c>
      <c r="E43" s="21" t="s">
        <v>76</v>
      </c>
      <c r="F43" s="21">
        <v>1</v>
      </c>
      <c r="G43" s="30">
        <v>2000000</v>
      </c>
      <c r="H43" s="30"/>
      <c r="I43" s="30"/>
      <c r="J43" s="30"/>
      <c r="K43" s="30"/>
      <c r="L43" s="3">
        <f>G43*F43</f>
        <v>2000000</v>
      </c>
      <c r="M43" s="3"/>
      <c r="N43" s="3"/>
      <c r="O43" s="4" t="s">
        <v>76</v>
      </c>
      <c r="P43" s="4"/>
    </row>
    <row r="44" spans="2:17" ht="30" x14ac:dyDescent="0.25">
      <c r="B44" s="304"/>
      <c r="C44" s="19">
        <v>6</v>
      </c>
      <c r="D44" s="20" t="s">
        <v>77</v>
      </c>
      <c r="E44" s="21" t="s">
        <v>73</v>
      </c>
      <c r="F44" s="21">
        <v>1</v>
      </c>
      <c r="G44" s="30">
        <v>3773127.8000000003</v>
      </c>
      <c r="H44" s="30"/>
      <c r="I44" s="30"/>
      <c r="J44" s="30"/>
      <c r="K44" s="30"/>
      <c r="L44" s="3">
        <f>G44</f>
        <v>3773127.8000000003</v>
      </c>
      <c r="M44" s="3"/>
      <c r="N44" s="3"/>
      <c r="O44" s="4" t="s">
        <v>73</v>
      </c>
      <c r="P44" s="4"/>
    </row>
    <row r="45" spans="2:17" ht="45" x14ac:dyDescent="0.25">
      <c r="B45" s="304"/>
      <c r="C45" s="22" t="s">
        <v>15</v>
      </c>
      <c r="D45" s="8" t="s">
        <v>78</v>
      </c>
      <c r="E45" s="25"/>
      <c r="F45" s="26"/>
      <c r="G45" s="27"/>
      <c r="H45" s="27"/>
      <c r="I45" s="27"/>
      <c r="J45" s="27"/>
      <c r="K45" s="27"/>
      <c r="L45" s="28"/>
      <c r="M45" s="28"/>
      <c r="N45" s="28"/>
      <c r="O45" s="8"/>
      <c r="P45" s="8"/>
    </row>
    <row r="46" spans="2:17" ht="45" x14ac:dyDescent="0.25">
      <c r="B46" s="304"/>
      <c r="C46" s="22" t="s">
        <v>34</v>
      </c>
      <c r="D46" s="8" t="s">
        <v>79</v>
      </c>
      <c r="E46" s="25"/>
      <c r="F46" s="26"/>
      <c r="G46" s="27"/>
      <c r="H46" s="27"/>
      <c r="I46" s="27"/>
      <c r="J46" s="27"/>
      <c r="K46" s="27"/>
      <c r="L46" s="28"/>
      <c r="M46" s="28"/>
      <c r="N46" s="28"/>
      <c r="O46" s="8"/>
      <c r="P46" s="8"/>
    </row>
    <row r="47" spans="2:17" ht="75" x14ac:dyDescent="0.25">
      <c r="B47" s="304"/>
      <c r="C47" s="22" t="s">
        <v>36</v>
      </c>
      <c r="D47" s="8" t="s">
        <v>80</v>
      </c>
      <c r="E47" s="25"/>
      <c r="F47" s="26"/>
      <c r="G47" s="27"/>
      <c r="H47" s="27"/>
      <c r="I47" s="27"/>
      <c r="J47" s="27"/>
      <c r="K47" s="27"/>
      <c r="L47" s="28"/>
      <c r="M47" s="28"/>
      <c r="N47" s="28"/>
      <c r="O47" s="8"/>
      <c r="P47" s="8"/>
    </row>
    <row r="48" spans="2:17" ht="60" x14ac:dyDescent="0.25">
      <c r="B48" s="304"/>
      <c r="C48" s="22" t="s">
        <v>67</v>
      </c>
      <c r="D48" s="8" t="s">
        <v>81</v>
      </c>
      <c r="E48" s="25"/>
      <c r="F48" s="26"/>
      <c r="G48" s="27"/>
      <c r="H48" s="27"/>
      <c r="I48" s="27"/>
      <c r="J48" s="27"/>
      <c r="K48" s="27"/>
      <c r="L48" s="28"/>
      <c r="M48" s="28"/>
      <c r="N48" s="28"/>
      <c r="O48" s="8"/>
      <c r="P48" s="8"/>
    </row>
    <row r="49" spans="2:17" ht="30" x14ac:dyDescent="0.25">
      <c r="B49" s="304"/>
      <c r="C49" s="22" t="s">
        <v>69</v>
      </c>
      <c r="D49" s="8" t="s">
        <v>82</v>
      </c>
      <c r="E49" s="25"/>
      <c r="F49" s="26"/>
      <c r="G49" s="27"/>
      <c r="H49" s="27"/>
      <c r="I49" s="27"/>
      <c r="J49" s="27"/>
      <c r="K49" s="27"/>
      <c r="L49" s="28"/>
      <c r="M49" s="28"/>
      <c r="N49" s="28"/>
      <c r="O49" s="8"/>
      <c r="P49" s="8"/>
    </row>
    <row r="50" spans="2:17" ht="30" x14ac:dyDescent="0.25">
      <c r="B50" s="304"/>
      <c r="C50" s="22" t="s">
        <v>71</v>
      </c>
      <c r="D50" s="8" t="s">
        <v>83</v>
      </c>
      <c r="E50" s="25"/>
      <c r="F50" s="26"/>
      <c r="G50" s="27"/>
      <c r="H50" s="27"/>
      <c r="I50" s="27"/>
      <c r="J50" s="27"/>
      <c r="K50" s="27"/>
      <c r="L50" s="28"/>
      <c r="M50" s="28"/>
      <c r="N50" s="28"/>
      <c r="O50" s="8"/>
      <c r="P50" s="8"/>
    </row>
    <row r="51" spans="2:17" ht="60" x14ac:dyDescent="0.25">
      <c r="B51" s="304"/>
      <c r="C51" s="22" t="s">
        <v>84</v>
      </c>
      <c r="D51" s="8" t="s">
        <v>85</v>
      </c>
      <c r="E51" s="25"/>
      <c r="F51" s="26"/>
      <c r="G51" s="27"/>
      <c r="H51" s="27"/>
      <c r="I51" s="27"/>
      <c r="J51" s="27"/>
      <c r="K51" s="27"/>
      <c r="L51" s="28"/>
      <c r="M51" s="28"/>
      <c r="N51" s="28"/>
      <c r="O51" s="8"/>
      <c r="P51" s="8"/>
    </row>
    <row r="52" spans="2:17" ht="75" x14ac:dyDescent="0.25">
      <c r="B52" s="304"/>
      <c r="C52" s="22" t="s">
        <v>86</v>
      </c>
      <c r="D52" s="8" t="s">
        <v>87</v>
      </c>
      <c r="E52" s="25"/>
      <c r="F52" s="26"/>
      <c r="G52" s="27"/>
      <c r="H52" s="27"/>
      <c r="I52" s="27"/>
      <c r="J52" s="27"/>
      <c r="K52" s="27"/>
      <c r="L52" s="28"/>
      <c r="M52" s="28"/>
      <c r="N52" s="28"/>
      <c r="O52" s="8"/>
      <c r="P52" s="8"/>
    </row>
    <row r="53" spans="2:17" ht="75" x14ac:dyDescent="0.25">
      <c r="B53" s="304"/>
      <c r="C53" s="22" t="s">
        <v>18</v>
      </c>
      <c r="D53" s="8" t="s">
        <v>88</v>
      </c>
      <c r="E53" s="25"/>
      <c r="F53" s="26"/>
      <c r="G53" s="27"/>
      <c r="H53" s="27"/>
      <c r="I53" s="27"/>
      <c r="J53" s="27"/>
      <c r="K53" s="27"/>
      <c r="L53" s="28"/>
      <c r="M53" s="28"/>
      <c r="N53" s="28"/>
      <c r="O53" s="8"/>
      <c r="P53" s="8"/>
    </row>
    <row r="54" spans="2:17" ht="120" x14ac:dyDescent="0.25">
      <c r="B54" s="304"/>
      <c r="C54" s="22" t="s">
        <v>89</v>
      </c>
      <c r="D54" s="8" t="s">
        <v>197</v>
      </c>
      <c r="E54" s="25"/>
      <c r="F54" s="26"/>
      <c r="G54" s="27"/>
      <c r="H54" s="27"/>
      <c r="I54" s="27"/>
      <c r="J54" s="27"/>
      <c r="K54" s="27"/>
      <c r="L54" s="28"/>
      <c r="M54" s="28"/>
      <c r="N54" s="28"/>
      <c r="O54" s="8"/>
      <c r="P54" s="8"/>
    </row>
    <row r="55" spans="2:17" ht="120" x14ac:dyDescent="0.25">
      <c r="B55" s="304"/>
      <c r="C55" s="22" t="s">
        <v>91</v>
      </c>
      <c r="D55" s="8" t="s">
        <v>198</v>
      </c>
      <c r="E55" s="25"/>
      <c r="F55" s="26"/>
      <c r="G55" s="27"/>
      <c r="H55" s="27"/>
      <c r="I55" s="27"/>
      <c r="J55" s="27"/>
      <c r="K55" s="27"/>
      <c r="L55" s="28"/>
      <c r="M55" s="28"/>
      <c r="N55" s="28"/>
      <c r="O55" s="8"/>
      <c r="P55" s="8"/>
    </row>
    <row r="56" spans="2:17" x14ac:dyDescent="0.25">
      <c r="B56" s="304"/>
      <c r="C56" s="19">
        <v>7</v>
      </c>
      <c r="D56" s="20" t="s">
        <v>93</v>
      </c>
      <c r="E56" s="21"/>
      <c r="F56" s="21"/>
      <c r="G56" s="30"/>
      <c r="H56" s="30"/>
      <c r="I56" s="30"/>
      <c r="J56" s="30"/>
      <c r="K56" s="30"/>
      <c r="L56" s="3"/>
      <c r="M56" s="3"/>
      <c r="N56" s="3"/>
      <c r="O56" s="4"/>
      <c r="P56" s="4"/>
    </row>
    <row r="57" spans="2:17" ht="105" x14ac:dyDescent="0.25">
      <c r="B57" s="304"/>
      <c r="C57" s="22" t="s">
        <v>15</v>
      </c>
      <c r="D57" s="8" t="s">
        <v>199</v>
      </c>
      <c r="E57" s="21"/>
      <c r="F57" s="21"/>
      <c r="G57" s="30"/>
      <c r="H57" s="30"/>
      <c r="I57" s="30"/>
      <c r="J57" s="30"/>
      <c r="K57" s="30"/>
      <c r="L57" s="3"/>
      <c r="M57" s="3"/>
      <c r="N57" s="3"/>
      <c r="O57" s="4"/>
      <c r="P57" s="4"/>
    </row>
    <row r="58" spans="2:17" ht="30" x14ac:dyDescent="0.25">
      <c r="B58" s="304"/>
      <c r="C58" s="22" t="s">
        <v>18</v>
      </c>
      <c r="D58" s="32" t="s">
        <v>95</v>
      </c>
      <c r="E58" s="25" t="s">
        <v>20</v>
      </c>
      <c r="F58" s="26">
        <v>2</v>
      </c>
      <c r="G58" s="33">
        <f>((585000)+250000+100000)</f>
        <v>935000</v>
      </c>
      <c r="H58" s="33">
        <f>G58*15%</f>
        <v>140250</v>
      </c>
      <c r="I58" s="33">
        <f>G58*3%</f>
        <v>28050</v>
      </c>
      <c r="J58" s="33">
        <f>G58*5%</f>
        <v>46750</v>
      </c>
      <c r="K58" s="33">
        <f>G58*1%</f>
        <v>9350</v>
      </c>
      <c r="L58" s="34">
        <f>SUM(G58:K58)</f>
        <v>1159400</v>
      </c>
      <c r="M58" s="34">
        <f>L58*10%</f>
        <v>115940</v>
      </c>
      <c r="N58" s="34">
        <f>M58+L58</f>
        <v>1275340</v>
      </c>
      <c r="O58" s="32">
        <f>N58*1%</f>
        <v>12753.4</v>
      </c>
      <c r="P58" s="12">
        <f>N58+O58</f>
        <v>1288093.3999999999</v>
      </c>
      <c r="Q58" s="35" t="s">
        <v>200</v>
      </c>
    </row>
    <row r="59" spans="2:17" ht="30" x14ac:dyDescent="0.25">
      <c r="B59" s="304"/>
      <c r="C59" s="22" t="s">
        <v>22</v>
      </c>
      <c r="D59" s="32" t="s">
        <v>96</v>
      </c>
      <c r="E59" s="25" t="s">
        <v>20</v>
      </c>
      <c r="F59" s="26">
        <v>3</v>
      </c>
      <c r="G59" s="33">
        <f t="shared" ref="G59:G61" si="5">((585000)+250000+100000)</f>
        <v>935000</v>
      </c>
      <c r="H59" s="33">
        <f>G59*15%</f>
        <v>140250</v>
      </c>
      <c r="I59" s="33">
        <f>G59*3%</f>
        <v>28050</v>
      </c>
      <c r="J59" s="33">
        <f>G59*5%</f>
        <v>46750</v>
      </c>
      <c r="K59" s="33">
        <f>G59*1%</f>
        <v>9350</v>
      </c>
      <c r="L59" s="34">
        <f>SUM(G59:K59)</f>
        <v>1159400</v>
      </c>
      <c r="M59" s="34">
        <f>L59*10%</f>
        <v>115940</v>
      </c>
      <c r="N59" s="34">
        <f>M59+L59</f>
        <v>1275340</v>
      </c>
      <c r="O59" s="32">
        <f>N59*1%</f>
        <v>12753.4</v>
      </c>
      <c r="P59" s="12">
        <f>N59+O59</f>
        <v>1288093.3999999999</v>
      </c>
      <c r="Q59" s="35" t="s">
        <v>200</v>
      </c>
    </row>
    <row r="60" spans="2:17" ht="30" x14ac:dyDescent="0.25">
      <c r="B60" s="304"/>
      <c r="C60" s="22" t="s">
        <v>25</v>
      </c>
      <c r="D60" s="32" t="s">
        <v>97</v>
      </c>
      <c r="E60" s="25" t="s">
        <v>20</v>
      </c>
      <c r="F60" s="26">
        <v>1</v>
      </c>
      <c r="G60" s="33">
        <f t="shared" si="5"/>
        <v>935000</v>
      </c>
      <c r="H60" s="33">
        <f>G60*15%</f>
        <v>140250</v>
      </c>
      <c r="I60" s="33">
        <f>G60*3%</f>
        <v>28050</v>
      </c>
      <c r="J60" s="33">
        <f>G60*5%</f>
        <v>46750</v>
      </c>
      <c r="K60" s="33">
        <f>G60*1%</f>
        <v>9350</v>
      </c>
      <c r="L60" s="34">
        <f>SUM(G60:K60)</f>
        <v>1159400</v>
      </c>
      <c r="M60" s="34">
        <f>L60*10%</f>
        <v>115940</v>
      </c>
      <c r="N60" s="34">
        <f>M60+L60</f>
        <v>1275340</v>
      </c>
      <c r="O60" s="32">
        <f>N60*1%</f>
        <v>12753.4</v>
      </c>
      <c r="P60" s="12">
        <f>N60+O60</f>
        <v>1288093.3999999999</v>
      </c>
      <c r="Q60" s="35" t="s">
        <v>200</v>
      </c>
    </row>
    <row r="61" spans="2:17" ht="30" x14ac:dyDescent="0.25">
      <c r="B61" s="304"/>
      <c r="C61" s="22" t="s">
        <v>28</v>
      </c>
      <c r="D61" s="32" t="s">
        <v>98</v>
      </c>
      <c r="E61" s="25" t="s">
        <v>20</v>
      </c>
      <c r="F61" s="26">
        <v>1</v>
      </c>
      <c r="G61" s="33">
        <f t="shared" si="5"/>
        <v>935000</v>
      </c>
      <c r="H61" s="33">
        <f>G61*15%</f>
        <v>140250</v>
      </c>
      <c r="I61" s="33">
        <f>G61*3%</f>
        <v>28050</v>
      </c>
      <c r="J61" s="33">
        <f>G61*5%</f>
        <v>46750</v>
      </c>
      <c r="K61" s="33">
        <f>G61*1%</f>
        <v>9350</v>
      </c>
      <c r="L61" s="34">
        <f>SUM(G61:K61)</f>
        <v>1159400</v>
      </c>
      <c r="M61" s="34">
        <f>L61*10%</f>
        <v>115940</v>
      </c>
      <c r="N61" s="34">
        <f>M61+L61</f>
        <v>1275340</v>
      </c>
      <c r="O61" s="32">
        <f>N61*1%</f>
        <v>12753.4</v>
      </c>
      <c r="P61" s="12">
        <f>N61+O61</f>
        <v>1288093.3999999999</v>
      </c>
      <c r="Q61" s="35" t="s">
        <v>200</v>
      </c>
    </row>
    <row r="62" spans="2:17" ht="270" x14ac:dyDescent="0.25">
      <c r="B62" s="304"/>
      <c r="C62" s="22" t="s">
        <v>29</v>
      </c>
      <c r="D62" s="32" t="s">
        <v>201</v>
      </c>
      <c r="E62" s="25" t="s">
        <v>20</v>
      </c>
      <c r="F62" s="26">
        <v>1</v>
      </c>
      <c r="G62" s="33">
        <f>7933762+350645</f>
        <v>8284407</v>
      </c>
      <c r="H62" s="33"/>
      <c r="I62" s="33"/>
      <c r="J62" s="33"/>
      <c r="K62" s="33"/>
      <c r="L62" s="34">
        <f>F62*G62</f>
        <v>8284407</v>
      </c>
      <c r="M62" s="34"/>
      <c r="N62" s="34"/>
      <c r="O62" s="32" t="s">
        <v>20</v>
      </c>
      <c r="P62" s="32"/>
      <c r="Q62" s="35" t="s">
        <v>202</v>
      </c>
    </row>
    <row r="63" spans="2:17" ht="45" x14ac:dyDescent="0.25">
      <c r="B63" s="304"/>
      <c r="C63" s="22" t="s">
        <v>34</v>
      </c>
      <c r="D63" s="20" t="s">
        <v>100</v>
      </c>
      <c r="E63" s="21" t="s">
        <v>76</v>
      </c>
      <c r="F63" s="21">
        <v>1</v>
      </c>
      <c r="G63" s="27">
        <v>1354545</v>
      </c>
      <c r="H63" s="27"/>
      <c r="I63" s="27"/>
      <c r="J63" s="27"/>
      <c r="K63" s="27"/>
      <c r="L63" s="3">
        <f>G63*F63</f>
        <v>1354545</v>
      </c>
      <c r="M63" s="3"/>
      <c r="N63" s="3"/>
      <c r="O63" s="4" t="s">
        <v>76</v>
      </c>
      <c r="P63" s="4"/>
      <c r="Q63" s="13" t="s">
        <v>174</v>
      </c>
    </row>
    <row r="64" spans="2:17" ht="75" x14ac:dyDescent="0.25">
      <c r="B64" s="304"/>
      <c r="C64" s="19">
        <v>8</v>
      </c>
      <c r="D64" s="20" t="s">
        <v>101</v>
      </c>
      <c r="E64" s="21" t="s">
        <v>102</v>
      </c>
      <c r="F64" s="21">
        <v>1</v>
      </c>
      <c r="G64" s="27">
        <v>75000</v>
      </c>
      <c r="H64" s="27"/>
      <c r="I64" s="27"/>
      <c r="J64" s="27"/>
      <c r="K64" s="27"/>
      <c r="L64" s="3">
        <f>G64*F64</f>
        <v>75000</v>
      </c>
      <c r="M64" s="3"/>
      <c r="N64" s="3"/>
      <c r="O64" s="4" t="s">
        <v>102</v>
      </c>
      <c r="P64" s="4"/>
    </row>
    <row r="65" spans="2:17" x14ac:dyDescent="0.25">
      <c r="B65" s="304"/>
      <c r="C65" s="19">
        <v>9</v>
      </c>
      <c r="D65" s="20" t="s">
        <v>103</v>
      </c>
      <c r="E65" s="21"/>
      <c r="F65" s="21"/>
      <c r="G65" s="30"/>
      <c r="H65" s="30"/>
      <c r="I65" s="30"/>
      <c r="J65" s="30"/>
      <c r="K65" s="30"/>
      <c r="L65" s="3"/>
      <c r="M65" s="3"/>
      <c r="N65" s="3"/>
      <c r="O65" s="4"/>
      <c r="P65" s="4"/>
    </row>
    <row r="66" spans="2:17" x14ac:dyDescent="0.25">
      <c r="B66" s="304"/>
      <c r="C66" s="31">
        <v>9.1</v>
      </c>
      <c r="D66" s="20" t="s">
        <v>104</v>
      </c>
      <c r="E66" s="21" t="s">
        <v>105</v>
      </c>
      <c r="F66" s="21">
        <v>70</v>
      </c>
      <c r="G66" s="27">
        <v>65000</v>
      </c>
      <c r="H66" s="27"/>
      <c r="I66" s="27"/>
      <c r="J66" s="27"/>
      <c r="K66" s="27"/>
      <c r="L66" s="3">
        <f>G66*F66</f>
        <v>4550000</v>
      </c>
      <c r="M66" s="3"/>
      <c r="N66" s="3"/>
      <c r="O66" s="4" t="s">
        <v>105</v>
      </c>
      <c r="P66" s="4"/>
      <c r="Q66" s="13" t="s">
        <v>203</v>
      </c>
    </row>
    <row r="67" spans="2:17" ht="30" x14ac:dyDescent="0.25">
      <c r="B67" s="304"/>
      <c r="C67" s="31">
        <v>9.1999999999999993</v>
      </c>
      <c r="D67" s="20" t="s">
        <v>106</v>
      </c>
      <c r="E67" s="21" t="s">
        <v>105</v>
      </c>
      <c r="F67" s="21">
        <v>15</v>
      </c>
      <c r="G67" s="27">
        <v>65000</v>
      </c>
      <c r="H67" s="27"/>
      <c r="I67" s="27"/>
      <c r="J67" s="27"/>
      <c r="K67" s="27"/>
      <c r="L67" s="3">
        <f>G67*F67</f>
        <v>975000</v>
      </c>
      <c r="M67" s="3"/>
      <c r="N67" s="3"/>
      <c r="O67" s="4" t="s">
        <v>105</v>
      </c>
      <c r="P67" s="4"/>
      <c r="Q67" s="13" t="s">
        <v>203</v>
      </c>
    </row>
    <row r="68" spans="2:17" ht="75" x14ac:dyDescent="0.25">
      <c r="B68" s="304"/>
      <c r="C68" s="19">
        <v>10</v>
      </c>
      <c r="D68" s="8" t="s">
        <v>107</v>
      </c>
      <c r="E68" s="25" t="s">
        <v>108</v>
      </c>
      <c r="F68" s="26">
        <v>3</v>
      </c>
      <c r="G68" s="27">
        <f>25589+2509</f>
        <v>28098</v>
      </c>
      <c r="H68" s="27"/>
      <c r="I68" s="27"/>
      <c r="J68" s="27"/>
      <c r="K68" s="27"/>
      <c r="L68" s="28">
        <f>F68*G68</f>
        <v>84294</v>
      </c>
      <c r="M68" s="28"/>
      <c r="N68" s="28"/>
      <c r="O68" s="8" t="s">
        <v>108</v>
      </c>
      <c r="P68" s="8"/>
      <c r="Q68" s="13" t="s">
        <v>224</v>
      </c>
    </row>
    <row r="69" spans="2:17" x14ac:dyDescent="0.25">
      <c r="B69" s="304"/>
      <c r="C69" s="19">
        <v>11</v>
      </c>
      <c r="D69" s="20" t="s">
        <v>109</v>
      </c>
      <c r="E69" s="21"/>
      <c r="F69" s="21"/>
      <c r="G69" s="30"/>
      <c r="H69" s="30"/>
      <c r="I69" s="30"/>
      <c r="J69" s="30"/>
      <c r="K69" s="30"/>
      <c r="L69" s="3"/>
      <c r="M69" s="3"/>
      <c r="N69" s="3"/>
      <c r="O69" s="4"/>
      <c r="P69" s="4"/>
    </row>
    <row r="70" spans="2:17" ht="135" x14ac:dyDescent="0.25">
      <c r="B70" s="304"/>
      <c r="C70" s="31">
        <v>11.1</v>
      </c>
      <c r="D70" s="8" t="s">
        <v>110</v>
      </c>
      <c r="E70" s="21"/>
      <c r="F70" s="21"/>
      <c r="G70" s="30"/>
      <c r="H70" s="30"/>
      <c r="I70" s="30"/>
      <c r="J70" s="30"/>
      <c r="K70" s="30"/>
      <c r="L70" s="3"/>
      <c r="M70" s="3"/>
      <c r="N70" s="3"/>
      <c r="O70" s="4"/>
      <c r="P70" s="4"/>
    </row>
    <row r="71" spans="2:17" x14ac:dyDescent="0.25">
      <c r="B71" s="304"/>
      <c r="C71" s="22" t="s">
        <v>15</v>
      </c>
      <c r="D71" s="8" t="s">
        <v>111</v>
      </c>
      <c r="E71" s="25" t="s">
        <v>112</v>
      </c>
      <c r="F71" s="26">
        <v>300</v>
      </c>
      <c r="G71" s="27">
        <v>544.5</v>
      </c>
      <c r="H71" s="27"/>
      <c r="I71" s="27"/>
      <c r="J71" s="27"/>
      <c r="K71" s="27"/>
      <c r="L71" s="28">
        <f>F71*G71</f>
        <v>163350</v>
      </c>
      <c r="M71" s="28"/>
      <c r="N71" s="28"/>
      <c r="O71" s="8" t="s">
        <v>112</v>
      </c>
      <c r="P71" s="8"/>
      <c r="Q71" s="13" t="s">
        <v>174</v>
      </c>
    </row>
    <row r="72" spans="2:17" x14ac:dyDescent="0.25">
      <c r="B72" s="304"/>
      <c r="C72" s="22" t="s">
        <v>34</v>
      </c>
      <c r="D72" s="8" t="s">
        <v>113</v>
      </c>
      <c r="E72" s="25" t="s">
        <v>112</v>
      </c>
      <c r="F72" s="26">
        <v>500</v>
      </c>
      <c r="G72" s="27">
        <v>441</v>
      </c>
      <c r="H72" s="27"/>
      <c r="I72" s="27"/>
      <c r="J72" s="27"/>
      <c r="K72" s="27"/>
      <c r="L72" s="28">
        <f>F72*G72</f>
        <v>220500</v>
      </c>
      <c r="M72" s="28"/>
      <c r="N72" s="28"/>
      <c r="O72" s="8" t="s">
        <v>112</v>
      </c>
      <c r="P72" s="8"/>
      <c r="Q72" s="13" t="s">
        <v>174</v>
      </c>
    </row>
    <row r="73" spans="2:17" ht="165" x14ac:dyDescent="0.25">
      <c r="B73" s="304"/>
      <c r="C73" s="31">
        <v>11.2</v>
      </c>
      <c r="D73" s="8" t="s">
        <v>114</v>
      </c>
      <c r="E73" s="21"/>
      <c r="F73" s="21"/>
      <c r="G73" s="30"/>
      <c r="H73" s="30"/>
      <c r="I73" s="30"/>
      <c r="J73" s="30"/>
      <c r="K73" s="30"/>
      <c r="L73" s="3"/>
      <c r="M73" s="3"/>
      <c r="N73" s="3"/>
      <c r="O73" s="4"/>
      <c r="P73" s="4"/>
    </row>
    <row r="74" spans="2:17" ht="30" x14ac:dyDescent="0.25">
      <c r="B74" s="304"/>
      <c r="C74" s="22" t="s">
        <v>15</v>
      </c>
      <c r="D74" s="8" t="s">
        <v>115</v>
      </c>
      <c r="E74" s="25" t="s">
        <v>112</v>
      </c>
      <c r="F74" s="26">
        <v>120</v>
      </c>
      <c r="G74" s="27">
        <v>400</v>
      </c>
      <c r="H74" s="27"/>
      <c r="I74" s="27"/>
      <c r="J74" s="27"/>
      <c r="K74" s="27"/>
      <c r="L74" s="28">
        <f>F74*G74</f>
        <v>48000</v>
      </c>
      <c r="M74" s="28"/>
      <c r="N74" s="28"/>
      <c r="O74" s="8" t="s">
        <v>112</v>
      </c>
      <c r="P74" s="8"/>
      <c r="Q74" s="13" t="s">
        <v>174</v>
      </c>
    </row>
    <row r="75" spans="2:17" x14ac:dyDescent="0.25">
      <c r="B75" s="304"/>
      <c r="C75" s="31">
        <v>11.3</v>
      </c>
      <c r="D75" s="8" t="s">
        <v>116</v>
      </c>
      <c r="E75" s="21"/>
      <c r="F75" s="21"/>
      <c r="G75" s="30"/>
      <c r="H75" s="30"/>
      <c r="I75" s="30"/>
      <c r="J75" s="30"/>
      <c r="K75" s="30"/>
      <c r="L75" s="3"/>
      <c r="M75" s="3"/>
      <c r="N75" s="3"/>
      <c r="O75" s="4"/>
      <c r="P75" s="4"/>
    </row>
    <row r="76" spans="2:17" x14ac:dyDescent="0.25">
      <c r="B76" s="304"/>
      <c r="C76" s="22" t="s">
        <v>15</v>
      </c>
      <c r="D76" s="8" t="s">
        <v>117</v>
      </c>
      <c r="E76" s="25" t="s">
        <v>112</v>
      </c>
      <c r="F76" s="26">
        <v>80</v>
      </c>
      <c r="G76" s="27">
        <v>1200</v>
      </c>
      <c r="H76" s="27"/>
      <c r="I76" s="27"/>
      <c r="J76" s="27"/>
      <c r="K76" s="27"/>
      <c r="L76" s="28">
        <f>F76*G76</f>
        <v>96000</v>
      </c>
      <c r="M76" s="28"/>
      <c r="N76" s="28"/>
      <c r="O76" s="8" t="s">
        <v>112</v>
      </c>
      <c r="P76" s="8"/>
      <c r="Q76" s="13" t="s">
        <v>174</v>
      </c>
    </row>
    <row r="77" spans="2:17" x14ac:dyDescent="0.25">
      <c r="B77" s="304"/>
      <c r="C77" s="22" t="s">
        <v>34</v>
      </c>
      <c r="D77" s="8" t="s">
        <v>118</v>
      </c>
      <c r="E77" s="25" t="s">
        <v>112</v>
      </c>
      <c r="F77" s="26">
        <v>50</v>
      </c>
      <c r="G77" s="27">
        <v>870</v>
      </c>
      <c r="H77" s="27"/>
      <c r="I77" s="27"/>
      <c r="J77" s="27"/>
      <c r="K77" s="27"/>
      <c r="L77" s="28">
        <f>F77*G77</f>
        <v>43500</v>
      </c>
      <c r="M77" s="28"/>
      <c r="N77" s="28"/>
      <c r="O77" s="8" t="s">
        <v>112</v>
      </c>
      <c r="P77" s="8"/>
      <c r="Q77" s="13" t="s">
        <v>174</v>
      </c>
    </row>
    <row r="78" spans="2:17" x14ac:dyDescent="0.25">
      <c r="B78" s="304"/>
      <c r="C78" s="19">
        <v>12</v>
      </c>
      <c r="D78" s="20" t="s">
        <v>119</v>
      </c>
      <c r="E78" s="21"/>
      <c r="F78" s="21"/>
      <c r="G78" s="30"/>
      <c r="H78" s="30"/>
      <c r="I78" s="30"/>
      <c r="J78" s="30"/>
      <c r="K78" s="30"/>
      <c r="L78" s="3"/>
      <c r="M78" s="3"/>
      <c r="N78" s="3"/>
      <c r="O78" s="4"/>
      <c r="P78" s="4"/>
    </row>
    <row r="79" spans="2:17" ht="75" x14ac:dyDescent="0.25">
      <c r="B79" s="304"/>
      <c r="C79" s="22" t="s">
        <v>15</v>
      </c>
      <c r="D79" s="8" t="s">
        <v>120</v>
      </c>
      <c r="E79" s="25" t="s">
        <v>47</v>
      </c>
      <c r="F79" s="26">
        <v>1</v>
      </c>
      <c r="G79" s="27">
        <v>112200</v>
      </c>
      <c r="H79" s="27"/>
      <c r="I79" s="27"/>
      <c r="J79" s="27"/>
      <c r="K79" s="27"/>
      <c r="L79" s="28">
        <f>F79*G79</f>
        <v>112200</v>
      </c>
      <c r="M79" s="28"/>
      <c r="N79" s="28"/>
      <c r="O79" s="8" t="s">
        <v>47</v>
      </c>
      <c r="P79" s="8"/>
    </row>
    <row r="80" spans="2:17" ht="30" x14ac:dyDescent="0.25">
      <c r="B80" s="304"/>
      <c r="C80" s="19">
        <v>13</v>
      </c>
      <c r="D80" s="20" t="s">
        <v>121</v>
      </c>
      <c r="E80" s="21"/>
      <c r="F80" s="21"/>
      <c r="G80" s="30"/>
      <c r="H80" s="30"/>
      <c r="I80" s="30"/>
      <c r="J80" s="30"/>
      <c r="K80" s="30"/>
      <c r="L80" s="3"/>
      <c r="M80" s="3"/>
      <c r="N80" s="3"/>
      <c r="O80" s="4"/>
      <c r="P80" s="4"/>
    </row>
    <row r="81" spans="2:17" ht="90" x14ac:dyDescent="0.25">
      <c r="B81" s="304"/>
      <c r="C81" s="31">
        <v>13.1</v>
      </c>
      <c r="D81" s="32" t="s">
        <v>122</v>
      </c>
      <c r="E81" s="25" t="s">
        <v>47</v>
      </c>
      <c r="F81" s="26">
        <v>1</v>
      </c>
      <c r="G81" s="33">
        <f>990000</f>
        <v>990000</v>
      </c>
      <c r="H81" s="33">
        <f>G81*15%</f>
        <v>148500</v>
      </c>
      <c r="I81" s="33">
        <f>G81*3%</f>
        <v>29700</v>
      </c>
      <c r="J81" s="33">
        <f>G81*5%</f>
        <v>49500</v>
      </c>
      <c r="K81" s="33">
        <f>G81*1%</f>
        <v>9900</v>
      </c>
      <c r="L81" s="34">
        <f>SUM(G81:K81)</f>
        <v>1227600</v>
      </c>
      <c r="M81" s="34">
        <f>L81*10%</f>
        <v>122760</v>
      </c>
      <c r="N81" s="34">
        <f>M81+L81</f>
        <v>1350360</v>
      </c>
      <c r="O81" s="32">
        <f>N81*1%</f>
        <v>13503.6</v>
      </c>
      <c r="P81" s="12">
        <f>N81+O81</f>
        <v>1363863.6</v>
      </c>
      <c r="Q81" s="35" t="s">
        <v>204</v>
      </c>
    </row>
    <row r="82" spans="2:17" x14ac:dyDescent="0.25">
      <c r="B82" s="304"/>
      <c r="C82" s="40"/>
      <c r="D82" s="32" t="s">
        <v>123</v>
      </c>
      <c r="E82" s="25" t="s">
        <v>47</v>
      </c>
      <c r="F82" s="26">
        <v>1</v>
      </c>
      <c r="G82" s="33">
        <f>990000</f>
        <v>990000</v>
      </c>
      <c r="H82" s="33">
        <f>G82*15%</f>
        <v>148500</v>
      </c>
      <c r="I82" s="33">
        <f>G82*3%</f>
        <v>29700</v>
      </c>
      <c r="J82" s="33">
        <f>G82*5%</f>
        <v>49500</v>
      </c>
      <c r="K82" s="33">
        <f>G82*1%</f>
        <v>9900</v>
      </c>
      <c r="L82" s="34">
        <f>SUM(G82:K82)</f>
        <v>1227600</v>
      </c>
      <c r="M82" s="34">
        <f>L82*10%</f>
        <v>122760</v>
      </c>
      <c r="N82" s="34">
        <f>M82+L82</f>
        <v>1350360</v>
      </c>
      <c r="O82" s="32">
        <f>N82*1%</f>
        <v>13503.6</v>
      </c>
      <c r="P82" s="12">
        <f>N82+O82</f>
        <v>1363863.6</v>
      </c>
      <c r="Q82" s="35" t="s">
        <v>205</v>
      </c>
    </row>
    <row r="83" spans="2:17" ht="30" x14ac:dyDescent="0.25">
      <c r="B83" s="304"/>
      <c r="C83" s="19">
        <v>14</v>
      </c>
      <c r="D83" s="4" t="s">
        <v>124</v>
      </c>
      <c r="E83" s="21"/>
      <c r="F83" s="21"/>
      <c r="G83" s="30"/>
      <c r="H83" s="30"/>
      <c r="I83" s="30"/>
      <c r="J83" s="30"/>
      <c r="K83" s="30"/>
      <c r="L83" s="3"/>
      <c r="M83" s="3"/>
      <c r="N83" s="3"/>
      <c r="O83" s="4"/>
      <c r="P83" s="4"/>
    </row>
    <row r="84" spans="2:17" ht="60" x14ac:dyDescent="0.25">
      <c r="B84" s="304"/>
      <c r="C84" s="305" t="s">
        <v>15</v>
      </c>
      <c r="D84" s="8" t="s">
        <v>125</v>
      </c>
      <c r="E84" s="306" t="s">
        <v>47</v>
      </c>
      <c r="F84" s="308">
        <v>1</v>
      </c>
      <c r="G84" s="310">
        <v>41810</v>
      </c>
      <c r="H84" s="27"/>
      <c r="I84" s="27"/>
      <c r="J84" s="27"/>
      <c r="K84" s="27"/>
      <c r="L84" s="311">
        <f>F84*G84</f>
        <v>41810</v>
      </c>
      <c r="M84" s="28"/>
      <c r="N84" s="28"/>
      <c r="O84" s="312" t="s">
        <v>47</v>
      </c>
      <c r="P84" s="8"/>
    </row>
    <row r="85" spans="2:17" ht="60" x14ac:dyDescent="0.25">
      <c r="B85" s="304"/>
      <c r="C85" s="305"/>
      <c r="D85" s="8" t="s">
        <v>126</v>
      </c>
      <c r="E85" s="307"/>
      <c r="F85" s="309"/>
      <c r="G85" s="310"/>
      <c r="H85" s="27"/>
      <c r="I85" s="27"/>
      <c r="J85" s="27"/>
      <c r="K85" s="27"/>
      <c r="L85" s="311"/>
      <c r="M85" s="28"/>
      <c r="N85" s="28"/>
      <c r="O85" s="312"/>
      <c r="P85" s="8"/>
    </row>
    <row r="86" spans="2:17" x14ac:dyDescent="0.25">
      <c r="B86" s="304"/>
      <c r="C86" s="19">
        <v>15</v>
      </c>
      <c r="D86" s="20" t="s">
        <v>127</v>
      </c>
      <c r="E86" s="21" t="s">
        <v>50</v>
      </c>
      <c r="F86" s="21">
        <v>1</v>
      </c>
      <c r="G86" s="30">
        <v>625000</v>
      </c>
      <c r="H86" s="30"/>
      <c r="I86" s="30"/>
      <c r="J86" s="30"/>
      <c r="K86" s="30"/>
      <c r="L86" s="3">
        <f>G86*F86</f>
        <v>625000</v>
      </c>
      <c r="M86" s="3"/>
      <c r="N86" s="3"/>
      <c r="O86" s="4" t="s">
        <v>50</v>
      </c>
      <c r="P86" s="4"/>
    </row>
    <row r="87" spans="2:17" ht="30" x14ac:dyDescent="0.25">
      <c r="B87" s="304"/>
      <c r="C87" s="19">
        <v>16</v>
      </c>
      <c r="D87" s="20" t="s">
        <v>128</v>
      </c>
      <c r="E87" s="21" t="s">
        <v>129</v>
      </c>
      <c r="F87" s="21">
        <v>1</v>
      </c>
      <c r="G87" s="30">
        <v>200000</v>
      </c>
      <c r="H87" s="30"/>
      <c r="I87" s="30"/>
      <c r="J87" s="30"/>
      <c r="K87" s="30"/>
      <c r="L87" s="48">
        <f>G87*F87</f>
        <v>200000</v>
      </c>
      <c r="M87" s="48"/>
      <c r="N87" s="48"/>
      <c r="O87" s="4" t="s">
        <v>129</v>
      </c>
      <c r="P87" s="4"/>
    </row>
    <row r="88" spans="2:17" ht="15.75" x14ac:dyDescent="0.25">
      <c r="B88" s="304"/>
      <c r="C88" s="49"/>
      <c r="D88" s="50" t="s">
        <v>130</v>
      </c>
      <c r="E88" s="11"/>
      <c r="F88" s="11"/>
      <c r="G88" s="30"/>
      <c r="H88" s="30"/>
      <c r="I88" s="30"/>
      <c r="J88" s="30"/>
      <c r="K88" s="30"/>
      <c r="L88" s="51">
        <f>SUM(L2:L87)</f>
        <v>34652329.659999996</v>
      </c>
      <c r="M88" s="51"/>
      <c r="N88" s="51"/>
      <c r="O88" s="6"/>
      <c r="P88" s="6"/>
    </row>
    <row r="89" spans="2:17" x14ac:dyDescent="0.25">
      <c r="B89" s="304"/>
      <c r="C89" s="49"/>
      <c r="D89" s="20"/>
      <c r="E89" s="52"/>
      <c r="F89" s="52"/>
      <c r="G89" s="30"/>
      <c r="H89" s="30"/>
      <c r="I89" s="30"/>
      <c r="J89" s="30"/>
      <c r="K89" s="30"/>
      <c r="L89" s="53"/>
      <c r="M89" s="53"/>
      <c r="N89" s="53"/>
      <c r="O89" s="7"/>
      <c r="P89" s="7"/>
    </row>
    <row r="90" spans="2:17" x14ac:dyDescent="0.25">
      <c r="B90" s="40"/>
      <c r="C90" s="40">
        <v>18.100000000000001</v>
      </c>
      <c r="D90" s="8" t="s">
        <v>131</v>
      </c>
      <c r="E90" s="23"/>
      <c r="F90" s="23"/>
      <c r="G90" s="54"/>
      <c r="H90" s="54"/>
      <c r="I90" s="54"/>
      <c r="J90" s="54"/>
      <c r="K90" s="54"/>
      <c r="L90" s="24"/>
      <c r="M90" s="24"/>
      <c r="N90" s="24"/>
      <c r="O90" s="4" t="s">
        <v>20</v>
      </c>
      <c r="P90" s="4"/>
    </row>
    <row r="91" spans="2:17" x14ac:dyDescent="0.25">
      <c r="B91" s="22" t="s">
        <v>17</v>
      </c>
      <c r="C91" s="22" t="s">
        <v>18</v>
      </c>
      <c r="D91" s="8" t="s">
        <v>206</v>
      </c>
      <c r="E91" s="21" t="s">
        <v>20</v>
      </c>
      <c r="F91" s="21">
        <v>1</v>
      </c>
      <c r="G91" s="30">
        <v>3596087</v>
      </c>
      <c r="H91" s="30"/>
      <c r="I91" s="30"/>
      <c r="J91" s="30"/>
      <c r="K91" s="30"/>
      <c r="L91" s="55">
        <f>F91*G91</f>
        <v>3596087</v>
      </c>
      <c r="M91" s="55"/>
      <c r="N91" s="55"/>
      <c r="O91" s="4"/>
      <c r="P91" s="4"/>
      <c r="Q91" s="13" t="s">
        <v>207</v>
      </c>
    </row>
    <row r="92" spans="2:17" x14ac:dyDescent="0.25">
      <c r="B92" s="22" t="s">
        <v>21</v>
      </c>
      <c r="C92" s="22" t="s">
        <v>22</v>
      </c>
      <c r="D92" s="8" t="s">
        <v>168</v>
      </c>
      <c r="E92" s="21"/>
      <c r="F92" s="21"/>
      <c r="G92" s="30"/>
      <c r="H92" s="30"/>
      <c r="I92" s="30"/>
      <c r="J92" s="30"/>
      <c r="K92" s="30"/>
      <c r="L92" s="55"/>
      <c r="M92" s="55"/>
      <c r="N92" s="55"/>
      <c r="O92" s="4"/>
      <c r="P92" s="4"/>
      <c r="Q92" s="13" t="s">
        <v>208</v>
      </c>
    </row>
    <row r="93" spans="2:17" x14ac:dyDescent="0.25">
      <c r="B93" s="22" t="s">
        <v>24</v>
      </c>
      <c r="C93" s="22" t="s">
        <v>25</v>
      </c>
      <c r="D93" s="8" t="s">
        <v>138</v>
      </c>
      <c r="E93" s="21"/>
      <c r="F93" s="21"/>
      <c r="G93" s="30"/>
      <c r="H93" s="30"/>
      <c r="I93" s="30"/>
      <c r="J93" s="30"/>
      <c r="K93" s="30"/>
      <c r="L93" s="55"/>
      <c r="M93" s="55"/>
      <c r="N93" s="55"/>
      <c r="O93" s="4"/>
      <c r="P93" s="4"/>
      <c r="Q93" s="13" t="s">
        <v>208</v>
      </c>
    </row>
    <row r="94" spans="2:17" x14ac:dyDescent="0.25">
      <c r="B94" s="22" t="s">
        <v>27</v>
      </c>
      <c r="C94" s="22" t="s">
        <v>28</v>
      </c>
      <c r="D94" s="8" t="s">
        <v>209</v>
      </c>
      <c r="E94" s="21"/>
      <c r="F94" s="21"/>
      <c r="G94" s="30"/>
      <c r="H94" s="30"/>
      <c r="I94" s="30"/>
      <c r="J94" s="30"/>
      <c r="K94" s="30"/>
      <c r="L94" s="55"/>
      <c r="M94" s="55"/>
      <c r="N94" s="55"/>
      <c r="O94" s="4"/>
      <c r="P94" s="4"/>
      <c r="Q94" s="13" t="s">
        <v>208</v>
      </c>
    </row>
    <row r="95" spans="2:17" x14ac:dyDescent="0.25">
      <c r="B95" s="40"/>
      <c r="C95" s="40">
        <v>18.2</v>
      </c>
      <c r="D95" s="8" t="s">
        <v>135</v>
      </c>
      <c r="E95" s="23"/>
      <c r="F95" s="23"/>
      <c r="G95" s="54"/>
      <c r="H95" s="54"/>
      <c r="I95" s="54"/>
      <c r="J95" s="54"/>
      <c r="K95" s="54"/>
      <c r="L95" s="24"/>
      <c r="M95" s="24"/>
      <c r="N95" s="24"/>
      <c r="O95" s="24"/>
      <c r="P95" s="24"/>
    </row>
    <row r="96" spans="2:17" x14ac:dyDescent="0.25">
      <c r="B96" s="22" t="s">
        <v>17</v>
      </c>
      <c r="C96" s="22" t="s">
        <v>18</v>
      </c>
      <c r="D96" s="8" t="s">
        <v>167</v>
      </c>
      <c r="E96" s="25" t="s">
        <v>20</v>
      </c>
      <c r="F96" s="25">
        <v>1</v>
      </c>
      <c r="G96" s="30">
        <v>8800000</v>
      </c>
      <c r="H96" s="30"/>
      <c r="I96" s="30"/>
      <c r="J96" s="30"/>
      <c r="K96" s="30"/>
      <c r="L96" s="56">
        <f>F96*G96</f>
        <v>8800000</v>
      </c>
      <c r="M96" s="56"/>
      <c r="N96" s="56"/>
      <c r="O96" s="24"/>
      <c r="P96" s="24"/>
      <c r="Q96" s="13" t="s">
        <v>172</v>
      </c>
    </row>
    <row r="97" spans="2:17" x14ac:dyDescent="0.25">
      <c r="B97" s="22" t="s">
        <v>21</v>
      </c>
      <c r="C97" s="22" t="s">
        <v>22</v>
      </c>
      <c r="D97" s="8" t="s">
        <v>210</v>
      </c>
      <c r="E97" s="25"/>
      <c r="F97" s="25"/>
      <c r="G97" s="30"/>
      <c r="H97" s="30"/>
      <c r="I97" s="30"/>
      <c r="J97" s="30"/>
      <c r="K97" s="30"/>
      <c r="L97" s="56"/>
      <c r="M97" s="56"/>
      <c r="N97" s="56"/>
      <c r="O97" s="8" t="s">
        <v>20</v>
      </c>
      <c r="P97" s="8"/>
      <c r="Q97" s="13" t="s">
        <v>172</v>
      </c>
    </row>
    <row r="98" spans="2:17" x14ac:dyDescent="0.25">
      <c r="B98" s="22" t="s">
        <v>24</v>
      </c>
      <c r="C98" s="22" t="s">
        <v>25</v>
      </c>
      <c r="D98" s="8" t="s">
        <v>211</v>
      </c>
      <c r="E98" s="25"/>
      <c r="F98" s="25"/>
      <c r="G98" s="30"/>
      <c r="H98" s="30"/>
      <c r="I98" s="30"/>
      <c r="J98" s="30"/>
      <c r="K98" s="30"/>
      <c r="L98" s="56"/>
      <c r="M98" s="56"/>
      <c r="N98" s="56"/>
      <c r="O98" s="8"/>
      <c r="P98" s="8"/>
      <c r="Q98" s="13" t="s">
        <v>172</v>
      </c>
    </row>
    <row r="99" spans="2:17" x14ac:dyDescent="0.25">
      <c r="B99" s="22" t="s">
        <v>27</v>
      </c>
      <c r="C99" s="22" t="s">
        <v>28</v>
      </c>
      <c r="D99" s="8" t="s">
        <v>210</v>
      </c>
      <c r="E99" s="25"/>
      <c r="F99" s="25"/>
      <c r="G99" s="30"/>
      <c r="H99" s="30"/>
      <c r="I99" s="30"/>
      <c r="J99" s="30"/>
      <c r="K99" s="30"/>
      <c r="L99" s="56"/>
      <c r="M99" s="56"/>
      <c r="N99" s="56"/>
      <c r="O99" s="8"/>
      <c r="P99" s="8"/>
      <c r="Q99" s="13" t="s">
        <v>172</v>
      </c>
    </row>
    <row r="100" spans="2:17" s="58" customFormat="1" ht="15.75" x14ac:dyDescent="0.25">
      <c r="B100" s="57"/>
      <c r="C100" s="57"/>
      <c r="D100" s="50" t="s">
        <v>139</v>
      </c>
      <c r="E100" s="11"/>
      <c r="F100" s="11"/>
      <c r="G100" s="30"/>
      <c r="H100" s="30"/>
      <c r="I100" s="30"/>
      <c r="J100" s="30"/>
      <c r="K100" s="30"/>
      <c r="L100" s="51">
        <f>SUM(L91:L96)</f>
        <v>12396087</v>
      </c>
      <c r="M100" s="51"/>
      <c r="N100" s="51"/>
      <c r="O100" s="6"/>
      <c r="P100" s="6"/>
    </row>
    <row r="101" spans="2:17" ht="15.75" x14ac:dyDescent="0.25">
      <c r="B101" s="49"/>
      <c r="C101" s="49"/>
      <c r="D101" s="50"/>
      <c r="E101" s="11"/>
      <c r="F101" s="11"/>
      <c r="G101" s="30"/>
      <c r="H101" s="30"/>
      <c r="I101" s="30"/>
      <c r="J101" s="30"/>
      <c r="K101" s="30"/>
      <c r="L101" s="51"/>
      <c r="M101" s="51"/>
      <c r="N101" s="51"/>
      <c r="O101" s="6"/>
      <c r="P101" s="6"/>
    </row>
    <row r="102" spans="2:17" x14ac:dyDescent="0.25">
      <c r="B102" s="14"/>
      <c r="C102" s="14" t="s">
        <v>140</v>
      </c>
      <c r="D102" s="15" t="s">
        <v>141</v>
      </c>
      <c r="E102" s="16"/>
      <c r="F102" s="16"/>
      <c r="G102" s="30"/>
      <c r="H102" s="30"/>
      <c r="I102" s="30"/>
      <c r="J102" s="30"/>
      <c r="K102" s="30"/>
      <c r="L102" s="15"/>
      <c r="M102" s="15"/>
      <c r="N102" s="15"/>
      <c r="O102" s="15"/>
      <c r="P102" s="15"/>
    </row>
    <row r="103" spans="2:17" ht="22.5" customHeight="1" x14ac:dyDescent="0.25">
      <c r="B103" s="299" t="s">
        <v>165</v>
      </c>
      <c r="C103" s="13">
        <v>1</v>
      </c>
      <c r="D103" s="24" t="s">
        <v>169</v>
      </c>
      <c r="E103" s="23" t="s">
        <v>47</v>
      </c>
      <c r="F103" s="23">
        <v>1</v>
      </c>
      <c r="G103" s="30">
        <v>10500000</v>
      </c>
      <c r="H103" s="30"/>
      <c r="I103" s="30"/>
      <c r="J103" s="30"/>
      <c r="K103" s="30"/>
      <c r="L103" s="59">
        <f>G103*F103</f>
        <v>10500000</v>
      </c>
      <c r="M103" s="59"/>
      <c r="N103" s="59"/>
      <c r="O103" s="24" t="s">
        <v>47</v>
      </c>
      <c r="P103" s="24"/>
      <c r="Q103" s="13" t="s">
        <v>212</v>
      </c>
    </row>
    <row r="104" spans="2:17" ht="22.5" customHeight="1" x14ac:dyDescent="0.25">
      <c r="B104" s="299"/>
      <c r="C104" s="13">
        <v>2</v>
      </c>
      <c r="D104" s="24" t="s">
        <v>143</v>
      </c>
      <c r="E104" s="23" t="s">
        <v>47</v>
      </c>
      <c r="F104" s="23">
        <v>1</v>
      </c>
      <c r="G104" s="30">
        <v>4000000</v>
      </c>
      <c r="H104" s="30"/>
      <c r="I104" s="30"/>
      <c r="J104" s="30"/>
      <c r="K104" s="30"/>
      <c r="L104" s="59">
        <f>G104*F104</f>
        <v>4000000</v>
      </c>
      <c r="M104" s="59"/>
      <c r="N104" s="59"/>
      <c r="O104" s="24" t="s">
        <v>47</v>
      </c>
      <c r="P104" s="24"/>
    </row>
    <row r="105" spans="2:17" x14ac:dyDescent="0.25">
      <c r="C105" s="13">
        <v>3</v>
      </c>
      <c r="D105" s="24" t="s">
        <v>144</v>
      </c>
      <c r="E105" s="23"/>
      <c r="F105" s="23"/>
      <c r="G105" s="54"/>
      <c r="H105" s="54"/>
      <c r="I105" s="54"/>
      <c r="J105" s="54"/>
      <c r="K105" s="54"/>
      <c r="L105" s="24"/>
      <c r="M105" s="24"/>
      <c r="N105" s="24"/>
      <c r="O105" s="24"/>
      <c r="P105" s="24"/>
    </row>
    <row r="106" spans="2:17" x14ac:dyDescent="0.25">
      <c r="B106" s="22" t="s">
        <v>17</v>
      </c>
      <c r="C106" s="22" t="s">
        <v>18</v>
      </c>
      <c r="D106" s="24" t="s">
        <v>171</v>
      </c>
      <c r="E106" s="23" t="s">
        <v>146</v>
      </c>
      <c r="F106" s="23">
        <v>9</v>
      </c>
      <c r="G106" s="30">
        <v>60000000</v>
      </c>
      <c r="H106" s="30"/>
      <c r="I106" s="30"/>
      <c r="J106" s="30"/>
      <c r="K106" s="30"/>
      <c r="L106" s="59">
        <f>G106*F106</f>
        <v>540000000</v>
      </c>
      <c r="M106" s="59"/>
      <c r="N106" s="59"/>
      <c r="O106" s="24"/>
      <c r="P106" s="24"/>
      <c r="Q106" s="13" t="s">
        <v>212</v>
      </c>
    </row>
    <row r="107" spans="2:17" x14ac:dyDescent="0.25">
      <c r="B107" s="22" t="s">
        <v>21</v>
      </c>
      <c r="C107" s="22" t="s">
        <v>22</v>
      </c>
      <c r="D107" s="24" t="s">
        <v>145</v>
      </c>
      <c r="E107" s="23"/>
      <c r="F107" s="23"/>
      <c r="G107" s="30"/>
      <c r="H107" s="30"/>
      <c r="I107" s="30"/>
      <c r="J107" s="30"/>
      <c r="K107" s="30"/>
      <c r="L107" s="59"/>
      <c r="M107" s="59"/>
      <c r="N107" s="59"/>
      <c r="O107" s="24" t="s">
        <v>146</v>
      </c>
      <c r="P107" s="24"/>
      <c r="Q107" s="13" t="s">
        <v>212</v>
      </c>
    </row>
    <row r="108" spans="2:17" x14ac:dyDescent="0.25">
      <c r="B108" s="22" t="s">
        <v>24</v>
      </c>
      <c r="C108" s="22" t="s">
        <v>25</v>
      </c>
      <c r="D108" s="24" t="s">
        <v>166</v>
      </c>
      <c r="E108" s="23"/>
      <c r="F108" s="23"/>
      <c r="G108" s="30"/>
      <c r="H108" s="30"/>
      <c r="I108" s="30"/>
      <c r="J108" s="30"/>
      <c r="K108" s="30"/>
      <c r="L108" s="59"/>
      <c r="M108" s="59"/>
      <c r="N108" s="59"/>
      <c r="O108" s="24"/>
      <c r="P108" s="24"/>
      <c r="Q108" s="13" t="s">
        <v>212</v>
      </c>
    </row>
    <row r="109" spans="2:17" x14ac:dyDescent="0.25">
      <c r="B109" s="22" t="s">
        <v>27</v>
      </c>
      <c r="C109" s="22" t="s">
        <v>28</v>
      </c>
      <c r="D109" s="24" t="s">
        <v>145</v>
      </c>
      <c r="E109" s="23"/>
      <c r="F109" s="23"/>
      <c r="G109" s="30"/>
      <c r="H109" s="30"/>
      <c r="I109" s="30"/>
      <c r="J109" s="30"/>
      <c r="K109" s="30"/>
      <c r="L109" s="59"/>
      <c r="M109" s="59"/>
      <c r="N109" s="59"/>
      <c r="O109" s="24"/>
      <c r="P109" s="24"/>
      <c r="Q109" s="13" t="s">
        <v>212</v>
      </c>
    </row>
    <row r="110" spans="2:17" ht="45" x14ac:dyDescent="0.25">
      <c r="B110" s="13" t="s">
        <v>165</v>
      </c>
      <c r="C110" s="13">
        <v>4</v>
      </c>
      <c r="D110" s="24" t="s">
        <v>148</v>
      </c>
      <c r="E110" s="23" t="s">
        <v>47</v>
      </c>
      <c r="F110" s="23">
        <v>1</v>
      </c>
      <c r="G110" s="30">
        <v>1800000</v>
      </c>
      <c r="H110" s="30"/>
      <c r="I110" s="30"/>
      <c r="J110" s="30"/>
      <c r="K110" s="30"/>
      <c r="L110" s="59">
        <f>G110*F110</f>
        <v>1800000</v>
      </c>
      <c r="M110" s="59"/>
      <c r="N110" s="59"/>
      <c r="O110" s="24" t="s">
        <v>47</v>
      </c>
      <c r="P110" s="24"/>
    </row>
    <row r="111" spans="2:17" x14ac:dyDescent="0.25">
      <c r="C111" s="13">
        <v>5</v>
      </c>
      <c r="D111" s="24" t="s">
        <v>149</v>
      </c>
      <c r="E111" s="23"/>
      <c r="F111" s="23"/>
      <c r="G111" s="54"/>
      <c r="H111" s="54"/>
      <c r="I111" s="54"/>
      <c r="J111" s="54"/>
      <c r="K111" s="54"/>
      <c r="L111" s="24"/>
      <c r="M111" s="24"/>
      <c r="N111" s="24"/>
      <c r="O111" s="24"/>
      <c r="P111" s="24"/>
    </row>
    <row r="112" spans="2:17" ht="30" x14ac:dyDescent="0.25">
      <c r="B112" s="22" t="s">
        <v>17</v>
      </c>
      <c r="C112" s="22" t="s">
        <v>18</v>
      </c>
      <c r="D112" s="24" t="s">
        <v>150</v>
      </c>
      <c r="E112" s="23" t="s">
        <v>50</v>
      </c>
      <c r="F112" s="23">
        <v>1</v>
      </c>
      <c r="G112" s="30">
        <v>5753491.5079905232</v>
      </c>
      <c r="H112" s="30"/>
      <c r="I112" s="30"/>
      <c r="J112" s="30"/>
      <c r="K112" s="30"/>
      <c r="L112" s="59">
        <f>G112*F112</f>
        <v>5753491.5079905232</v>
      </c>
      <c r="M112" s="59"/>
      <c r="N112" s="59"/>
      <c r="O112" s="24"/>
      <c r="P112" s="24"/>
      <c r="Q112" s="13" t="s">
        <v>193</v>
      </c>
    </row>
    <row r="113" spans="2:17" ht="30" x14ac:dyDescent="0.25">
      <c r="B113" s="22" t="s">
        <v>21</v>
      </c>
      <c r="C113" s="22" t="s">
        <v>22</v>
      </c>
      <c r="D113" s="24" t="s">
        <v>150</v>
      </c>
      <c r="E113" s="23"/>
      <c r="F113" s="23"/>
      <c r="G113" s="30"/>
      <c r="H113" s="30"/>
      <c r="I113" s="30"/>
      <c r="J113" s="30"/>
      <c r="K113" s="30"/>
      <c r="L113" s="59"/>
      <c r="M113" s="59"/>
      <c r="N113" s="59"/>
      <c r="O113" s="24" t="s">
        <v>50</v>
      </c>
      <c r="P113" s="24"/>
      <c r="Q113" s="13" t="s">
        <v>193</v>
      </c>
    </row>
    <row r="114" spans="2:17" ht="30" x14ac:dyDescent="0.25">
      <c r="B114" s="22" t="s">
        <v>24</v>
      </c>
      <c r="C114" s="22" t="s">
        <v>25</v>
      </c>
      <c r="D114" s="24" t="s">
        <v>150</v>
      </c>
      <c r="E114" s="23"/>
      <c r="F114" s="23"/>
      <c r="G114" s="30"/>
      <c r="H114" s="30"/>
      <c r="I114" s="30"/>
      <c r="J114" s="30"/>
      <c r="K114" s="30"/>
      <c r="L114" s="59"/>
      <c r="M114" s="59"/>
      <c r="N114" s="59"/>
      <c r="O114" s="24"/>
      <c r="P114" s="24"/>
      <c r="Q114" s="13" t="s">
        <v>193</v>
      </c>
    </row>
    <row r="115" spans="2:17" ht="30" x14ac:dyDescent="0.25">
      <c r="B115" s="22" t="s">
        <v>27</v>
      </c>
      <c r="C115" s="22" t="s">
        <v>28</v>
      </c>
      <c r="D115" s="24" t="s">
        <v>150</v>
      </c>
      <c r="E115" s="23"/>
      <c r="F115" s="23"/>
      <c r="G115" s="30"/>
      <c r="H115" s="30"/>
      <c r="I115" s="30"/>
      <c r="J115" s="30"/>
      <c r="K115" s="30"/>
      <c r="L115" s="59"/>
      <c r="M115" s="59"/>
      <c r="N115" s="59"/>
      <c r="O115" s="24"/>
      <c r="P115" s="24"/>
      <c r="Q115" s="13" t="s">
        <v>193</v>
      </c>
    </row>
    <row r="116" spans="2:17" x14ac:dyDescent="0.25">
      <c r="B116" s="300" t="s">
        <v>165</v>
      </c>
      <c r="C116" s="13">
        <v>6</v>
      </c>
      <c r="D116" s="24" t="s">
        <v>151</v>
      </c>
      <c r="E116" s="23" t="s">
        <v>50</v>
      </c>
      <c r="F116" s="23">
        <v>1</v>
      </c>
      <c r="G116" s="30">
        <v>275000</v>
      </c>
      <c r="H116" s="30"/>
      <c r="I116" s="30"/>
      <c r="J116" s="30"/>
      <c r="K116" s="30"/>
      <c r="L116" s="59">
        <f t="shared" ref="L116:L124" si="6">G116*F116</f>
        <v>275000</v>
      </c>
      <c r="M116" s="59"/>
      <c r="N116" s="59"/>
      <c r="O116" s="24" t="s">
        <v>50</v>
      </c>
      <c r="P116" s="24"/>
    </row>
    <row r="117" spans="2:17" x14ac:dyDescent="0.25">
      <c r="B117" s="300"/>
      <c r="C117" s="13">
        <v>7</v>
      </c>
      <c r="D117" s="24" t="s">
        <v>152</v>
      </c>
      <c r="E117" s="23" t="s">
        <v>50</v>
      </c>
      <c r="F117" s="23">
        <v>1</v>
      </c>
      <c r="G117" s="30">
        <v>575000</v>
      </c>
      <c r="H117" s="30"/>
      <c r="I117" s="30"/>
      <c r="J117" s="30"/>
      <c r="K117" s="30"/>
      <c r="L117" s="59">
        <f t="shared" si="6"/>
        <v>575000</v>
      </c>
      <c r="M117" s="59"/>
      <c r="N117" s="59"/>
      <c r="O117" s="24" t="s">
        <v>50</v>
      </c>
      <c r="P117" s="24"/>
    </row>
    <row r="118" spans="2:17" x14ac:dyDescent="0.25">
      <c r="B118" s="300"/>
      <c r="C118" s="13">
        <v>8</v>
      </c>
      <c r="D118" s="24" t="s">
        <v>153</v>
      </c>
      <c r="E118" s="23" t="s">
        <v>50</v>
      </c>
      <c r="F118" s="23">
        <v>1</v>
      </c>
      <c r="G118" s="30">
        <v>300000</v>
      </c>
      <c r="H118" s="30"/>
      <c r="I118" s="30"/>
      <c r="J118" s="30"/>
      <c r="K118" s="30"/>
      <c r="L118" s="59">
        <f t="shared" si="6"/>
        <v>300000</v>
      </c>
      <c r="M118" s="59"/>
      <c r="N118" s="59"/>
      <c r="O118" s="24" t="s">
        <v>50</v>
      </c>
      <c r="P118" s="24"/>
    </row>
    <row r="119" spans="2:17" x14ac:dyDescent="0.25">
      <c r="B119" s="300"/>
      <c r="C119" s="13">
        <v>9</v>
      </c>
      <c r="D119" s="24" t="s">
        <v>154</v>
      </c>
      <c r="E119" s="23" t="s">
        <v>50</v>
      </c>
      <c r="F119" s="23">
        <v>1</v>
      </c>
      <c r="G119" s="30">
        <v>4160174.5753995264</v>
      </c>
      <c r="H119" s="30"/>
      <c r="I119" s="30"/>
      <c r="J119" s="30"/>
      <c r="K119" s="30"/>
      <c r="L119" s="59">
        <f t="shared" si="6"/>
        <v>4160174.5753995264</v>
      </c>
      <c r="M119" s="59"/>
      <c r="N119" s="59"/>
      <c r="O119" s="24" t="s">
        <v>50</v>
      </c>
      <c r="P119" s="24"/>
    </row>
    <row r="120" spans="2:17" x14ac:dyDescent="0.25">
      <c r="B120" s="300"/>
      <c r="C120" s="13">
        <v>10</v>
      </c>
      <c r="D120" s="24" t="s">
        <v>155</v>
      </c>
      <c r="E120" s="23" t="s">
        <v>50</v>
      </c>
      <c r="F120" s="23">
        <v>1</v>
      </c>
      <c r="G120" s="30">
        <v>400000</v>
      </c>
      <c r="H120" s="30"/>
      <c r="I120" s="30"/>
      <c r="J120" s="30"/>
      <c r="K120" s="30"/>
      <c r="L120" s="59">
        <f t="shared" si="6"/>
        <v>400000</v>
      </c>
      <c r="M120" s="59"/>
      <c r="N120" s="59"/>
      <c r="O120" s="24" t="s">
        <v>50</v>
      </c>
      <c r="P120" s="24"/>
    </row>
    <row r="121" spans="2:17" x14ac:dyDescent="0.25">
      <c r="B121" s="300"/>
      <c r="C121" s="13">
        <v>11</v>
      </c>
      <c r="D121" s="24" t="s">
        <v>156</v>
      </c>
      <c r="E121" s="23" t="s">
        <v>50</v>
      </c>
      <c r="F121" s="23">
        <v>1</v>
      </c>
      <c r="G121" s="30">
        <v>500000</v>
      </c>
      <c r="H121" s="30"/>
      <c r="I121" s="30"/>
      <c r="J121" s="30"/>
      <c r="K121" s="30"/>
      <c r="L121" s="59">
        <f t="shared" si="6"/>
        <v>500000</v>
      </c>
      <c r="M121" s="59"/>
      <c r="N121" s="59"/>
      <c r="O121" s="24" t="s">
        <v>50</v>
      </c>
      <c r="P121" s="24"/>
    </row>
    <row r="122" spans="2:17" x14ac:dyDescent="0.25">
      <c r="B122" s="300"/>
      <c r="C122" s="13">
        <v>12</v>
      </c>
      <c r="D122" s="24" t="s">
        <v>157</v>
      </c>
      <c r="E122" s="23" t="s">
        <v>50</v>
      </c>
      <c r="F122" s="23">
        <v>1</v>
      </c>
      <c r="G122" s="30">
        <v>250000</v>
      </c>
      <c r="H122" s="30"/>
      <c r="I122" s="30"/>
      <c r="J122" s="30"/>
      <c r="K122" s="30"/>
      <c r="L122" s="59">
        <f t="shared" si="6"/>
        <v>250000</v>
      </c>
      <c r="M122" s="59"/>
      <c r="N122" s="59"/>
      <c r="O122" s="24" t="s">
        <v>50</v>
      </c>
      <c r="P122" s="24"/>
    </row>
    <row r="123" spans="2:17" x14ac:dyDescent="0.25">
      <c r="B123" s="300"/>
      <c r="C123" s="13">
        <v>13</v>
      </c>
      <c r="D123" s="24" t="s">
        <v>158</v>
      </c>
      <c r="E123" s="23" t="s">
        <v>47</v>
      </c>
      <c r="F123" s="23">
        <v>1</v>
      </c>
      <c r="G123" s="30">
        <v>600000</v>
      </c>
      <c r="H123" s="30"/>
      <c r="I123" s="30"/>
      <c r="J123" s="30"/>
      <c r="K123" s="30"/>
      <c r="L123" s="59">
        <f t="shared" si="6"/>
        <v>600000</v>
      </c>
      <c r="M123" s="59"/>
      <c r="N123" s="59"/>
      <c r="O123" s="24" t="s">
        <v>47</v>
      </c>
      <c r="P123" s="24"/>
    </row>
    <row r="124" spans="2:17" x14ac:dyDescent="0.25">
      <c r="B124" s="300"/>
      <c r="C124" s="13">
        <v>14</v>
      </c>
      <c r="D124" s="24" t="s">
        <v>159</v>
      </c>
      <c r="E124" s="23" t="s">
        <v>50</v>
      </c>
      <c r="F124" s="23">
        <v>1</v>
      </c>
      <c r="G124" s="30">
        <v>425000</v>
      </c>
      <c r="H124" s="30"/>
      <c r="I124" s="30"/>
      <c r="J124" s="30"/>
      <c r="K124" s="30"/>
      <c r="L124" s="59">
        <f t="shared" si="6"/>
        <v>425000</v>
      </c>
      <c r="M124" s="59"/>
      <c r="N124" s="59"/>
      <c r="O124" s="24" t="s">
        <v>50</v>
      </c>
      <c r="P124" s="24"/>
    </row>
    <row r="125" spans="2:17" ht="15.75" x14ac:dyDescent="0.25">
      <c r="B125" s="14"/>
      <c r="C125" s="14"/>
      <c r="D125" s="60" t="s">
        <v>160</v>
      </c>
      <c r="E125" s="61"/>
      <c r="F125" s="61"/>
      <c r="G125" s="62"/>
      <c r="H125" s="62"/>
      <c r="I125" s="62"/>
      <c r="J125" s="62"/>
      <c r="K125" s="62"/>
      <c r="L125" s="63">
        <f>SUM(L103:L124)</f>
        <v>569538666.08339</v>
      </c>
      <c r="M125" s="63"/>
      <c r="N125" s="63"/>
      <c r="O125" s="60"/>
      <c r="P125" s="60"/>
    </row>
    <row r="126" spans="2:17" ht="15.75" x14ac:dyDescent="0.25">
      <c r="B126" s="14"/>
      <c r="C126" s="14"/>
      <c r="D126" s="60"/>
      <c r="E126" s="61"/>
      <c r="F126" s="61"/>
      <c r="G126" s="62"/>
      <c r="H126" s="62"/>
      <c r="I126" s="62"/>
      <c r="J126" s="62"/>
      <c r="K126" s="62"/>
      <c r="L126" s="63"/>
      <c r="M126" s="63"/>
      <c r="N126" s="63"/>
      <c r="O126" s="60"/>
      <c r="P126" s="60"/>
    </row>
    <row r="127" spans="2:17" ht="63" x14ac:dyDescent="0.25">
      <c r="B127" s="14"/>
      <c r="C127" s="14" t="s">
        <v>161</v>
      </c>
      <c r="D127" s="60" t="s">
        <v>162</v>
      </c>
      <c r="E127" s="61" t="s">
        <v>163</v>
      </c>
      <c r="F127" s="61">
        <f>140*140</f>
        <v>19600</v>
      </c>
      <c r="G127" s="64">
        <v>10000</v>
      </c>
      <c r="H127" s="64"/>
      <c r="I127" s="64"/>
      <c r="J127" s="64"/>
      <c r="K127" s="64"/>
      <c r="L127" s="63">
        <f>G127*F127</f>
        <v>196000000</v>
      </c>
      <c r="M127" s="63"/>
      <c r="N127" s="63"/>
      <c r="O127" s="60" t="s">
        <v>163</v>
      </c>
      <c r="P127" s="60"/>
    </row>
    <row r="128" spans="2:17" x14ac:dyDescent="0.25">
      <c r="B128" s="14"/>
      <c r="C128" s="14"/>
      <c r="D128" s="15"/>
      <c r="E128" s="16"/>
      <c r="F128" s="16"/>
      <c r="G128" s="65"/>
      <c r="H128" s="65"/>
      <c r="I128" s="65"/>
      <c r="J128" s="65"/>
      <c r="K128" s="65"/>
      <c r="L128" s="18"/>
      <c r="M128" s="18"/>
      <c r="N128" s="18"/>
      <c r="O128" s="15"/>
      <c r="P128" s="15"/>
    </row>
    <row r="129" spans="1:17" ht="42" x14ac:dyDescent="0.25">
      <c r="D129" s="66" t="s">
        <v>164</v>
      </c>
      <c r="E129" s="23"/>
      <c r="F129" s="23"/>
      <c r="G129" s="17"/>
      <c r="H129" s="17"/>
      <c r="I129" s="17"/>
      <c r="J129" s="17"/>
      <c r="K129" s="17"/>
      <c r="L129" s="66">
        <f>L125+L88+L100+L127</f>
        <v>812587082.74338996</v>
      </c>
      <c r="M129" s="66"/>
      <c r="N129" s="66"/>
      <c r="O129" s="24"/>
      <c r="P129" s="24"/>
    </row>
    <row r="131" spans="1:17" x14ac:dyDescent="0.25">
      <c r="A131" s="13" t="s">
        <v>276</v>
      </c>
      <c r="B131" s="299" t="s">
        <v>277</v>
      </c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</row>
  </sheetData>
  <mergeCells count="12">
    <mergeCell ref="E1:P1"/>
    <mergeCell ref="B10:B89"/>
    <mergeCell ref="C84:C85"/>
    <mergeCell ref="E84:E85"/>
    <mergeCell ref="F84:F85"/>
    <mergeCell ref="G84:G85"/>
    <mergeCell ref="L84:L85"/>
    <mergeCell ref="O84:O85"/>
    <mergeCell ref="B131:Q131"/>
    <mergeCell ref="B103:B104"/>
    <mergeCell ref="B116:B124"/>
    <mergeCell ref="Q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8A6C-D70B-4C87-84C9-318B760742C9}">
  <dimension ref="A1:L44"/>
  <sheetViews>
    <sheetView zoomScale="70" zoomScaleNormal="70" workbookViewId="0">
      <selection activeCell="A4" sqref="A4"/>
    </sheetView>
  </sheetViews>
  <sheetFormatPr defaultColWidth="8.85546875" defaultRowHeight="15" x14ac:dyDescent="0.25"/>
  <cols>
    <col min="1" max="1" width="8.85546875" style="97"/>
    <col min="2" max="2" width="4.85546875" style="97" customWidth="1"/>
    <col min="3" max="3" width="8.85546875" style="98"/>
    <col min="4" max="4" width="52.5703125" style="97" bestFit="1" customWidth="1"/>
    <col min="5" max="5" width="14" style="97" bestFit="1" customWidth="1"/>
    <col min="6" max="6" width="12.7109375" style="97" bestFit="1" customWidth="1"/>
    <col min="7" max="7" width="10.28515625" style="97" bestFit="1" customWidth="1"/>
    <col min="8" max="8" width="10.85546875" style="97" bestFit="1" customWidth="1"/>
    <col min="9" max="9" width="14" style="97" bestFit="1" customWidth="1"/>
    <col min="10" max="10" width="3.28515625" style="97" customWidth="1"/>
    <col min="11" max="11" width="8.85546875" style="97"/>
    <col min="12" max="12" width="36.7109375" style="97" bestFit="1" customWidth="1"/>
    <col min="13" max="16384" width="8.85546875" style="97"/>
  </cols>
  <sheetData>
    <row r="1" spans="1:12" ht="15.75" thickBot="1" x14ac:dyDescent="0.3"/>
    <row r="2" spans="1:12" ht="15.75" thickBot="1" x14ac:dyDescent="0.3">
      <c r="A2" s="97" t="s">
        <v>281</v>
      </c>
      <c r="B2" s="99"/>
      <c r="C2" s="100"/>
      <c r="D2" s="101"/>
      <c r="E2" s="101"/>
      <c r="F2" s="101"/>
      <c r="G2" s="101"/>
      <c r="H2" s="101"/>
      <c r="I2" s="101"/>
      <c r="J2" s="102"/>
    </row>
    <row r="3" spans="1:12" ht="19.5" thickBot="1" x14ac:dyDescent="0.3">
      <c r="A3" s="97" t="s">
        <v>279</v>
      </c>
      <c r="B3" s="315" t="s">
        <v>226</v>
      </c>
      <c r="C3" s="316"/>
      <c r="D3" s="316"/>
      <c r="E3" s="316"/>
      <c r="F3" s="316"/>
      <c r="G3" s="316"/>
      <c r="H3" s="316"/>
      <c r="I3" s="316"/>
      <c r="J3" s="317"/>
      <c r="L3" s="97" t="s">
        <v>227</v>
      </c>
    </row>
    <row r="4" spans="1:12" ht="15.75" thickBot="1" x14ac:dyDescent="0.3">
      <c r="A4" s="298" t="s">
        <v>282</v>
      </c>
      <c r="B4" s="103"/>
      <c r="J4" s="104"/>
    </row>
    <row r="5" spans="1:12" x14ac:dyDescent="0.25">
      <c r="B5" s="103"/>
      <c r="C5" s="105">
        <v>1</v>
      </c>
      <c r="D5" s="106" t="s">
        <v>228</v>
      </c>
      <c r="E5" s="107"/>
      <c r="F5" s="108"/>
      <c r="J5" s="104"/>
    </row>
    <row r="6" spans="1:12" x14ac:dyDescent="0.25">
      <c r="B6" s="103"/>
      <c r="C6" s="109">
        <v>1.1000000000000001</v>
      </c>
      <c r="D6" s="110" t="s">
        <v>229</v>
      </c>
      <c r="E6" s="2">
        <v>50</v>
      </c>
      <c r="F6" s="111" t="s">
        <v>230</v>
      </c>
      <c r="J6" s="104"/>
    </row>
    <row r="7" spans="1:12" x14ac:dyDescent="0.25">
      <c r="B7" s="103"/>
      <c r="C7" s="109">
        <v>1.2</v>
      </c>
      <c r="D7" s="110" t="s">
        <v>231</v>
      </c>
      <c r="E7" s="2">
        <v>300</v>
      </c>
      <c r="F7" s="111" t="s">
        <v>232</v>
      </c>
      <c r="J7" s="104"/>
    </row>
    <row r="8" spans="1:12" x14ac:dyDescent="0.25">
      <c r="B8" s="103"/>
      <c r="C8" s="109">
        <v>1.3</v>
      </c>
      <c r="D8" s="110" t="s">
        <v>233</v>
      </c>
      <c r="E8" s="112">
        <f>E6*1000/E7</f>
        <v>166.66666666666666</v>
      </c>
      <c r="F8" s="111" t="s">
        <v>146</v>
      </c>
      <c r="J8" s="104"/>
    </row>
    <row r="9" spans="1:12" ht="15.75" thickBot="1" x14ac:dyDescent="0.3">
      <c r="B9" s="103"/>
      <c r="C9" s="113">
        <v>1.4</v>
      </c>
      <c r="D9" s="114" t="s">
        <v>234</v>
      </c>
      <c r="E9" s="115">
        <f>CEILING(E8,1)</f>
        <v>167</v>
      </c>
      <c r="F9" s="116" t="s">
        <v>146</v>
      </c>
      <c r="J9" s="104"/>
    </row>
    <row r="10" spans="1:12" ht="15.75" thickBot="1" x14ac:dyDescent="0.3">
      <c r="B10" s="103"/>
      <c r="J10" s="104"/>
    </row>
    <row r="11" spans="1:12" s="120" customFormat="1" x14ac:dyDescent="0.25">
      <c r="B11" s="117"/>
      <c r="C11" s="105">
        <v>2</v>
      </c>
      <c r="D11" s="106" t="s">
        <v>235</v>
      </c>
      <c r="E11" s="106"/>
      <c r="F11" s="106"/>
      <c r="G11" s="106"/>
      <c r="H11" s="106"/>
      <c r="I11" s="118"/>
      <c r="J11" s="119"/>
    </row>
    <row r="12" spans="1:12" s="120" customFormat="1" x14ac:dyDescent="0.25">
      <c r="B12" s="117"/>
      <c r="C12" s="109">
        <v>2.1</v>
      </c>
      <c r="D12" s="121" t="s">
        <v>236</v>
      </c>
      <c r="E12" s="1" t="s">
        <v>237</v>
      </c>
      <c r="F12" s="1" t="s">
        <v>146</v>
      </c>
      <c r="G12" s="1" t="s">
        <v>238</v>
      </c>
      <c r="H12" s="1" t="s">
        <v>239</v>
      </c>
      <c r="I12" s="122" t="s">
        <v>240</v>
      </c>
      <c r="J12" s="119"/>
    </row>
    <row r="13" spans="1:12" x14ac:dyDescent="0.25">
      <c r="B13" s="103"/>
      <c r="C13" s="109">
        <v>2.2000000000000002</v>
      </c>
      <c r="D13" s="110" t="s">
        <v>241</v>
      </c>
      <c r="E13" s="123">
        <v>0.8</v>
      </c>
      <c r="F13" s="2">
        <f>CEILING((E13*$E$9),1)</f>
        <v>134</v>
      </c>
      <c r="G13" s="2">
        <v>6</v>
      </c>
      <c r="H13" s="124">
        <v>85000</v>
      </c>
      <c r="I13" s="125">
        <f>H13*G13*F13</f>
        <v>68340000</v>
      </c>
      <c r="J13" s="104"/>
    </row>
    <row r="14" spans="1:12" x14ac:dyDescent="0.25">
      <c r="B14" s="103"/>
      <c r="C14" s="109">
        <v>2.2999999999999998</v>
      </c>
      <c r="D14" s="110" t="s">
        <v>242</v>
      </c>
      <c r="E14" s="123">
        <v>0.2</v>
      </c>
      <c r="F14" s="2">
        <f>CEILING((E14*$E$9),1)</f>
        <v>34</v>
      </c>
      <c r="G14" s="2">
        <v>7.5</v>
      </c>
      <c r="H14" s="124">
        <v>85000</v>
      </c>
      <c r="I14" s="125">
        <f>H14*G14*F14</f>
        <v>21675000</v>
      </c>
      <c r="J14" s="104"/>
    </row>
    <row r="15" spans="1:12" ht="15.75" thickBot="1" x14ac:dyDescent="0.3">
      <c r="B15" s="103"/>
      <c r="C15" s="109">
        <v>2.4</v>
      </c>
      <c r="D15" s="126" t="s">
        <v>243</v>
      </c>
      <c r="E15" s="126"/>
      <c r="F15" s="127">
        <v>2</v>
      </c>
      <c r="G15" s="127">
        <v>8.5</v>
      </c>
      <c r="H15" s="124">
        <v>85000</v>
      </c>
      <c r="I15" s="125">
        <f>H15*G15*F15</f>
        <v>1445000</v>
      </c>
      <c r="J15" s="104"/>
    </row>
    <row r="16" spans="1:12" ht="15.75" thickBot="1" x14ac:dyDescent="0.3">
      <c r="B16" s="103"/>
      <c r="C16" s="128">
        <v>2.5</v>
      </c>
      <c r="D16" s="318" t="s">
        <v>244</v>
      </c>
      <c r="E16" s="319"/>
      <c r="F16" s="319"/>
      <c r="G16" s="319"/>
      <c r="H16" s="320"/>
      <c r="I16" s="129">
        <f>SUM(I13:I15)</f>
        <v>91460000</v>
      </c>
      <c r="J16" s="104"/>
    </row>
    <row r="17" spans="2:12" ht="15.75" thickBot="1" x14ac:dyDescent="0.3">
      <c r="B17" s="103"/>
      <c r="C17" s="130">
        <v>2.6</v>
      </c>
      <c r="D17" s="131" t="s">
        <v>245</v>
      </c>
      <c r="E17" s="132"/>
      <c r="F17" s="132"/>
      <c r="G17" s="133" t="s">
        <v>246</v>
      </c>
      <c r="H17" s="134">
        <v>0.2</v>
      </c>
      <c r="I17" s="135">
        <f>I16*H17</f>
        <v>18292000</v>
      </c>
      <c r="J17" s="104"/>
    </row>
    <row r="18" spans="2:12" ht="15.75" thickBot="1" x14ac:dyDescent="0.3">
      <c r="B18" s="103"/>
      <c r="C18" s="136">
        <v>2.6</v>
      </c>
      <c r="D18" s="318" t="s">
        <v>247</v>
      </c>
      <c r="E18" s="319"/>
      <c r="F18" s="319"/>
      <c r="G18" s="319"/>
      <c r="H18" s="320"/>
      <c r="I18" s="137">
        <f>I16+I17</f>
        <v>109752000</v>
      </c>
      <c r="J18" s="104"/>
    </row>
    <row r="19" spans="2:12" ht="15.75" thickBot="1" x14ac:dyDescent="0.3">
      <c r="B19" s="103"/>
      <c r="J19" s="104"/>
    </row>
    <row r="20" spans="2:12" s="120" customFormat="1" x14ac:dyDescent="0.25">
      <c r="B20" s="117"/>
      <c r="C20" s="105">
        <v>3</v>
      </c>
      <c r="D20" s="106" t="s">
        <v>248</v>
      </c>
      <c r="E20" s="106"/>
      <c r="F20" s="118"/>
      <c r="J20" s="119"/>
    </row>
    <row r="21" spans="2:12" x14ac:dyDescent="0.25">
      <c r="B21" s="103"/>
      <c r="C21" s="109">
        <v>3.1</v>
      </c>
      <c r="D21" s="110" t="s">
        <v>249</v>
      </c>
      <c r="E21" s="138">
        <v>2</v>
      </c>
      <c r="F21" s="139" t="s">
        <v>250</v>
      </c>
      <c r="J21" s="104"/>
    </row>
    <row r="22" spans="2:12" x14ac:dyDescent="0.25">
      <c r="B22" s="103"/>
      <c r="C22" s="109">
        <v>3.2</v>
      </c>
      <c r="D22" s="110" t="s">
        <v>251</v>
      </c>
      <c r="E22" s="138">
        <f>250*1.05*1.02</f>
        <v>267.75</v>
      </c>
      <c r="F22" s="139"/>
      <c r="J22" s="104"/>
    </row>
    <row r="23" spans="2:12" x14ac:dyDescent="0.25">
      <c r="B23" s="103"/>
      <c r="C23" s="109">
        <v>3.3</v>
      </c>
      <c r="D23" s="110" t="s">
        <v>252</v>
      </c>
      <c r="E23" s="138">
        <v>386.9</v>
      </c>
      <c r="F23" s="139"/>
      <c r="J23" s="104"/>
    </row>
    <row r="24" spans="2:12" x14ac:dyDescent="0.25">
      <c r="B24" s="103"/>
      <c r="C24" s="109">
        <v>3.4</v>
      </c>
      <c r="D24" s="110" t="s">
        <v>253</v>
      </c>
      <c r="E24" s="138">
        <f>E23*1000</f>
        <v>386900</v>
      </c>
      <c r="F24" s="139"/>
      <c r="J24" s="104"/>
      <c r="L24" s="140"/>
    </row>
    <row r="25" spans="2:12" x14ac:dyDescent="0.25">
      <c r="B25" s="103"/>
      <c r="C25" s="109">
        <v>3.4</v>
      </c>
      <c r="D25" s="110" t="s">
        <v>254</v>
      </c>
      <c r="E25" s="138">
        <f>E24*3</f>
        <v>1160700</v>
      </c>
      <c r="F25" s="139"/>
      <c r="J25" s="104"/>
    </row>
    <row r="26" spans="2:12" x14ac:dyDescent="0.25">
      <c r="B26" s="103"/>
      <c r="C26" s="109">
        <v>3.5</v>
      </c>
      <c r="D26" s="121" t="s">
        <v>255</v>
      </c>
      <c r="E26" s="141">
        <f>E25*2</f>
        <v>2321400</v>
      </c>
      <c r="F26" s="139"/>
      <c r="J26" s="104"/>
    </row>
    <row r="27" spans="2:12" x14ac:dyDescent="0.25">
      <c r="B27" s="103"/>
      <c r="C27" s="109">
        <v>3.7</v>
      </c>
      <c r="D27" s="110" t="s">
        <v>256</v>
      </c>
      <c r="E27" s="138">
        <f>E26*F27</f>
        <v>69642</v>
      </c>
      <c r="F27" s="142">
        <v>0.03</v>
      </c>
      <c r="J27" s="104"/>
    </row>
    <row r="28" spans="2:12" x14ac:dyDescent="0.25">
      <c r="B28" s="103"/>
      <c r="C28" s="109">
        <v>3.8</v>
      </c>
      <c r="D28" s="121" t="s">
        <v>257</v>
      </c>
      <c r="E28" s="141">
        <f>E26+E27</f>
        <v>2391042</v>
      </c>
      <c r="F28" s="139"/>
      <c r="J28" s="104"/>
    </row>
    <row r="29" spans="2:12" x14ac:dyDescent="0.25">
      <c r="B29" s="103"/>
      <c r="C29" s="109">
        <v>3.9</v>
      </c>
      <c r="D29" s="121" t="s">
        <v>258</v>
      </c>
      <c r="E29" s="143">
        <f>E28*E6</f>
        <v>119552100</v>
      </c>
      <c r="F29" s="144"/>
      <c r="J29" s="104"/>
    </row>
    <row r="30" spans="2:12" ht="15.75" thickBot="1" x14ac:dyDescent="0.3">
      <c r="B30" s="103"/>
      <c r="C30" s="145">
        <v>3.9</v>
      </c>
      <c r="D30" s="146" t="s">
        <v>259</v>
      </c>
      <c r="E30" s="147">
        <f>E29*F30</f>
        <v>23910420</v>
      </c>
      <c r="F30" s="148">
        <v>0.2</v>
      </c>
      <c r="J30" s="104"/>
    </row>
    <row r="31" spans="2:12" ht="15.75" thickBot="1" x14ac:dyDescent="0.3">
      <c r="B31" s="103"/>
      <c r="C31" s="149">
        <v>4</v>
      </c>
      <c r="D31" s="150" t="s">
        <v>260</v>
      </c>
      <c r="E31" s="321">
        <f>E30+E29</f>
        <v>143462520</v>
      </c>
      <c r="F31" s="322"/>
      <c r="J31" s="104"/>
    </row>
    <row r="32" spans="2:12" ht="15.75" thickBot="1" x14ac:dyDescent="0.3">
      <c r="B32" s="103"/>
      <c r="C32" s="151"/>
      <c r="J32" s="104"/>
    </row>
    <row r="33" spans="1:10" ht="15.75" thickBot="1" x14ac:dyDescent="0.3">
      <c r="B33" s="103"/>
      <c r="C33" s="149">
        <v>6</v>
      </c>
      <c r="D33" s="150" t="s">
        <v>261</v>
      </c>
      <c r="E33" s="152">
        <f>E31+I18</f>
        <v>253214520</v>
      </c>
      <c r="F33" s="153"/>
      <c r="J33" s="104"/>
    </row>
    <row r="34" spans="1:10" ht="15.75" thickBot="1" x14ac:dyDescent="0.3">
      <c r="B34" s="103"/>
      <c r="C34" s="154">
        <v>7</v>
      </c>
      <c r="D34" s="150" t="s">
        <v>262</v>
      </c>
      <c r="E34" s="152">
        <f>E33*F34</f>
        <v>37982178</v>
      </c>
      <c r="F34" s="155">
        <v>0.15</v>
      </c>
      <c r="J34" s="104"/>
    </row>
    <row r="35" spans="1:10" ht="15.75" thickBot="1" x14ac:dyDescent="0.3">
      <c r="B35" s="103"/>
      <c r="C35" s="151"/>
      <c r="J35" s="104"/>
    </row>
    <row r="36" spans="1:10" ht="15.75" thickBot="1" x14ac:dyDescent="0.3">
      <c r="B36" s="103"/>
      <c r="C36" s="156">
        <v>8</v>
      </c>
      <c r="D36" s="157" t="s">
        <v>263</v>
      </c>
      <c r="E36" s="158">
        <f>E34+E33</f>
        <v>291196698</v>
      </c>
      <c r="F36" s="120">
        <f>E6</f>
        <v>50</v>
      </c>
      <c r="G36" s="120" t="s">
        <v>264</v>
      </c>
      <c r="J36" s="104"/>
    </row>
    <row r="37" spans="1:10" ht="15.75" thickBot="1" x14ac:dyDescent="0.3">
      <c r="B37" s="103"/>
      <c r="J37" s="104"/>
    </row>
    <row r="38" spans="1:10" s="162" customFormat="1" ht="19.5" thickBot="1" x14ac:dyDescent="0.3">
      <c r="B38" s="159"/>
      <c r="C38" s="160">
        <v>9</v>
      </c>
      <c r="D38" s="161" t="s">
        <v>265</v>
      </c>
      <c r="E38" s="313">
        <f>E36/F36</f>
        <v>5823933.96</v>
      </c>
      <c r="F38" s="314"/>
      <c r="J38" s="163"/>
    </row>
    <row r="39" spans="1:10" ht="15.75" thickBot="1" x14ac:dyDescent="0.3">
      <c r="B39" s="103"/>
      <c r="J39" s="104"/>
    </row>
    <row r="40" spans="1:10" ht="19.5" thickBot="1" x14ac:dyDescent="0.3">
      <c r="B40" s="103"/>
      <c r="C40" s="160">
        <v>10</v>
      </c>
      <c r="D40" s="161" t="s">
        <v>266</v>
      </c>
      <c r="E40" s="313">
        <f>E38*G40</f>
        <v>291196.69800000003</v>
      </c>
      <c r="F40" s="314"/>
      <c r="G40" s="164">
        <v>0.05</v>
      </c>
      <c r="J40" s="104"/>
    </row>
    <row r="41" spans="1:10" ht="15.75" thickBot="1" x14ac:dyDescent="0.3">
      <c r="B41" s="165"/>
      <c r="C41" s="166"/>
      <c r="D41" s="167"/>
      <c r="E41" s="167"/>
      <c r="F41" s="167"/>
      <c r="G41" s="167"/>
      <c r="H41" s="167"/>
      <c r="I41" s="167"/>
      <c r="J41" s="168"/>
    </row>
    <row r="43" spans="1:10" x14ac:dyDescent="0.25">
      <c r="A43" s="97" t="s">
        <v>276</v>
      </c>
      <c r="B43" s="97" t="s">
        <v>280</v>
      </c>
      <c r="F43" s="169"/>
    </row>
    <row r="44" spans="1:10" x14ac:dyDescent="0.25">
      <c r="F44" s="170"/>
    </row>
  </sheetData>
  <mergeCells count="6">
    <mergeCell ref="E40:F40"/>
    <mergeCell ref="B3:J3"/>
    <mergeCell ref="D16:H16"/>
    <mergeCell ref="D18:H18"/>
    <mergeCell ref="E31:F31"/>
    <mergeCell ref="E38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04B6-4B55-4E44-8734-E5A169D5C2DF}">
  <dimension ref="A1:H29"/>
  <sheetViews>
    <sheetView workbookViewId="0">
      <selection activeCell="B30" sqref="B30"/>
    </sheetView>
  </sheetViews>
  <sheetFormatPr defaultColWidth="8.85546875" defaultRowHeight="15.75" x14ac:dyDescent="0.25"/>
  <cols>
    <col min="1" max="1" width="12.140625" style="171" bestFit="1" customWidth="1"/>
    <col min="2" max="2" width="29.85546875" style="171" customWidth="1"/>
    <col min="3" max="3" width="23.7109375" style="172" customWidth="1"/>
    <col min="4" max="4" width="8.85546875" style="171"/>
    <col min="5" max="5" width="15.7109375" style="171" customWidth="1"/>
    <col min="6" max="6" width="16.5703125" style="171" bestFit="1" customWidth="1"/>
    <col min="7" max="16384" width="8.85546875" style="171"/>
  </cols>
  <sheetData>
    <row r="1" spans="1:8" ht="16.5" thickBot="1" x14ac:dyDescent="0.3"/>
    <row r="2" spans="1:8" ht="16.5" thickBot="1" x14ac:dyDescent="0.3">
      <c r="B2" s="173"/>
      <c r="C2" s="174"/>
      <c r="D2" s="175"/>
      <c r="E2" s="175"/>
      <c r="F2" s="175"/>
      <c r="G2" s="175"/>
      <c r="H2" s="176"/>
    </row>
    <row r="3" spans="1:8" ht="32.25" thickBot="1" x14ac:dyDescent="0.3">
      <c r="A3" s="171" t="s">
        <v>281</v>
      </c>
      <c r="B3" s="177" t="s">
        <v>267</v>
      </c>
      <c r="C3" s="178">
        <f>'TL DC MOOSE'!E6</f>
        <v>50</v>
      </c>
      <c r="H3" s="179"/>
    </row>
    <row r="4" spans="1:8" ht="48" thickBot="1" x14ac:dyDescent="0.3">
      <c r="B4" s="180" t="s">
        <v>268</v>
      </c>
      <c r="C4" s="181" t="s">
        <v>269</v>
      </c>
      <c r="H4" s="179"/>
    </row>
    <row r="5" spans="1:8" x14ac:dyDescent="0.25">
      <c r="B5" s="182"/>
      <c r="C5" s="183"/>
      <c r="H5" s="179"/>
    </row>
    <row r="6" spans="1:8" x14ac:dyDescent="0.25">
      <c r="B6" s="186"/>
      <c r="C6" s="187"/>
      <c r="H6" s="179"/>
    </row>
    <row r="7" spans="1:8" x14ac:dyDescent="0.25">
      <c r="B7" s="186"/>
      <c r="C7" s="187"/>
      <c r="H7" s="179"/>
    </row>
    <row r="8" spans="1:8" x14ac:dyDescent="0.25">
      <c r="B8" s="186"/>
      <c r="C8" s="187"/>
      <c r="H8" s="179"/>
    </row>
    <row r="9" spans="1:8" x14ac:dyDescent="0.25">
      <c r="B9" s="186"/>
      <c r="C9" s="187"/>
      <c r="H9" s="179"/>
    </row>
    <row r="10" spans="1:8" x14ac:dyDescent="0.25">
      <c r="B10" s="190" cm="1">
        <f t="array" ref="B10">SUM('TL DC MOOSE'!E38:F38+'TL DC MOOSE'!E40:F40)</f>
        <v>6115130.6579999998</v>
      </c>
      <c r="C10" s="187">
        <f>1.25*C3</f>
        <v>62.5</v>
      </c>
      <c r="H10" s="179"/>
    </row>
    <row r="11" spans="1:8" x14ac:dyDescent="0.25">
      <c r="B11" s="186"/>
      <c r="C11" s="187"/>
      <c r="H11" s="179"/>
    </row>
    <row r="12" spans="1:8" ht="16.5" thickBot="1" x14ac:dyDescent="0.3">
      <c r="B12" s="193"/>
      <c r="C12" s="194"/>
      <c r="H12" s="179"/>
    </row>
    <row r="13" spans="1:8" x14ac:dyDescent="0.25">
      <c r="B13" s="196"/>
      <c r="H13" s="179"/>
    </row>
    <row r="14" spans="1:8" x14ac:dyDescent="0.25">
      <c r="A14" s="171" t="s">
        <v>276</v>
      </c>
      <c r="B14" s="196" t="s">
        <v>283</v>
      </c>
      <c r="H14" s="179"/>
    </row>
    <row r="15" spans="1:8" x14ac:dyDescent="0.25">
      <c r="B15" s="196"/>
      <c r="H15" s="179"/>
    </row>
    <row r="16" spans="1:8" x14ac:dyDescent="0.25">
      <c r="B16" s="196"/>
      <c r="H16" s="179"/>
    </row>
    <row r="17" spans="1:8" ht="16.5" thickBot="1" x14ac:dyDescent="0.3">
      <c r="B17" s="197"/>
      <c r="C17" s="198"/>
      <c r="D17" s="199"/>
      <c r="E17" s="199"/>
      <c r="F17" s="199"/>
      <c r="G17" s="199"/>
      <c r="H17" s="200"/>
    </row>
    <row r="18" spans="1:8" ht="16.5" thickBot="1" x14ac:dyDescent="0.3"/>
    <row r="19" spans="1:8" ht="16.5" thickBot="1" x14ac:dyDescent="0.3">
      <c r="A19" s="171" t="s">
        <v>281</v>
      </c>
      <c r="B19" s="323" t="s">
        <v>270</v>
      </c>
      <c r="C19" s="324"/>
    </row>
    <row r="20" spans="1:8" x14ac:dyDescent="0.25">
      <c r="B20" s="184" t="s">
        <v>271</v>
      </c>
      <c r="C20" s="185">
        <f>'Link 1'!H130</f>
        <v>2189052356.3108196</v>
      </c>
      <c r="F20" s="201"/>
    </row>
    <row r="21" spans="1:8" x14ac:dyDescent="0.25">
      <c r="B21" s="188" t="s">
        <v>272</v>
      </c>
      <c r="C21" s="189">
        <f>'Link 1'!L130</f>
        <v>2285225359.9871197</v>
      </c>
    </row>
    <row r="22" spans="1:8" x14ac:dyDescent="0.25">
      <c r="B22" s="188" t="s">
        <v>273</v>
      </c>
      <c r="C22" s="189">
        <f>'Link 1'!P130</f>
        <v>2331918692.413393</v>
      </c>
    </row>
    <row r="23" spans="1:8" x14ac:dyDescent="0.25">
      <c r="B23" s="188" t="s">
        <v>274</v>
      </c>
      <c r="C23" s="189">
        <f>'Link 1'!T130</f>
        <v>2287739299.33111</v>
      </c>
    </row>
    <row r="24" spans="1:8" x14ac:dyDescent="0.25">
      <c r="B24" s="188"/>
      <c r="C24" s="189"/>
    </row>
    <row r="25" spans="1:8" x14ac:dyDescent="0.25">
      <c r="B25" s="188" t="s">
        <v>275</v>
      </c>
      <c r="C25" s="189">
        <f>B10*C10</f>
        <v>382195666.125</v>
      </c>
    </row>
    <row r="26" spans="1:8" ht="16.5" thickBot="1" x14ac:dyDescent="0.3">
      <c r="B26" s="191"/>
      <c r="C26" s="192"/>
    </row>
    <row r="27" spans="1:8" ht="16.5" thickBot="1" x14ac:dyDescent="0.3">
      <c r="B27" s="195" t="s">
        <v>0</v>
      </c>
      <c r="C27" s="195">
        <f>SUM(C20:C26)</f>
        <v>9476131374.1674423</v>
      </c>
    </row>
    <row r="29" spans="1:8" x14ac:dyDescent="0.25">
      <c r="A29" s="171" t="s">
        <v>276</v>
      </c>
      <c r="B29" s="171" t="s">
        <v>284</v>
      </c>
    </row>
  </sheetData>
  <mergeCells count="1">
    <mergeCell ref="B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zoomScale="10" zoomScaleNormal="10" workbookViewId="0">
      <selection activeCell="B132" sqref="B132:U132"/>
    </sheetView>
  </sheetViews>
  <sheetFormatPr defaultRowHeight="15" x14ac:dyDescent="0.25"/>
  <cols>
    <col min="1" max="3" width="9.140625" style="90"/>
    <col min="4" max="4" width="35" style="90" customWidth="1"/>
    <col min="5" max="5" width="7.7109375" style="90" bestFit="1" customWidth="1"/>
    <col min="6" max="6" width="8.7109375" style="90" bestFit="1" customWidth="1"/>
    <col min="7" max="7" width="14.140625" style="90" bestFit="1" customWidth="1"/>
    <col min="8" max="8" width="22" style="90" customWidth="1"/>
    <col min="9" max="10" width="9.140625" style="90" customWidth="1"/>
    <col min="11" max="11" width="19.140625" style="90" customWidth="1"/>
    <col min="12" max="12" width="22" style="90" customWidth="1"/>
    <col min="13" max="14" width="9.140625" style="90" customWidth="1"/>
    <col min="15" max="15" width="14.28515625" style="90" customWidth="1"/>
    <col min="16" max="16" width="26" style="90" customWidth="1"/>
    <col min="17" max="17" width="9.140625" style="90" customWidth="1"/>
    <col min="18" max="18" width="9.140625" style="90"/>
    <col min="19" max="19" width="16.42578125" style="90" customWidth="1"/>
    <col min="20" max="20" width="25.5703125" style="90" customWidth="1"/>
    <col min="21" max="21" width="38" style="90" customWidth="1"/>
    <col min="22" max="16384" width="9.140625" style="90"/>
  </cols>
  <sheetData>
    <row r="1" spans="1:21" ht="15.75" thickBot="1" x14ac:dyDescent="0.3"/>
    <row r="2" spans="1:21" ht="30.75" thickBot="1" x14ac:dyDescent="0.3">
      <c r="A2" s="90" t="s">
        <v>278</v>
      </c>
      <c r="B2" s="202" t="s">
        <v>1</v>
      </c>
      <c r="C2" s="203" t="s">
        <v>2</v>
      </c>
      <c r="D2" s="202" t="s">
        <v>3</v>
      </c>
      <c r="E2" s="333" t="s">
        <v>4</v>
      </c>
      <c r="F2" s="332"/>
      <c r="G2" s="332"/>
      <c r="H2" s="332"/>
      <c r="I2" s="333" t="s">
        <v>5</v>
      </c>
      <c r="J2" s="332"/>
      <c r="K2" s="332"/>
      <c r="L2" s="335"/>
      <c r="M2" s="332" t="s">
        <v>6</v>
      </c>
      <c r="N2" s="332"/>
      <c r="O2" s="332"/>
      <c r="P2" s="332"/>
      <c r="Q2" s="328" t="s">
        <v>7</v>
      </c>
      <c r="R2" s="329"/>
      <c r="S2" s="329"/>
      <c r="T2" s="330"/>
    </row>
    <row r="3" spans="1:21" ht="30.75" thickBot="1" x14ac:dyDescent="0.3">
      <c r="B3" s="202"/>
      <c r="C3" s="202" t="s">
        <v>8</v>
      </c>
      <c r="D3" s="203" t="s">
        <v>9</v>
      </c>
      <c r="E3" s="202" t="s">
        <v>10</v>
      </c>
      <c r="F3" s="204" t="s">
        <v>11</v>
      </c>
      <c r="G3" s="205" t="s">
        <v>12</v>
      </c>
      <c r="H3" s="206" t="s">
        <v>13</v>
      </c>
      <c r="I3" s="202" t="s">
        <v>10</v>
      </c>
      <c r="J3" s="204" t="s">
        <v>11</v>
      </c>
      <c r="K3" s="205" t="s">
        <v>12</v>
      </c>
      <c r="L3" s="207" t="s">
        <v>13</v>
      </c>
      <c r="M3" s="208" t="s">
        <v>10</v>
      </c>
      <c r="N3" s="204" t="s">
        <v>11</v>
      </c>
      <c r="O3" s="205" t="s">
        <v>12</v>
      </c>
      <c r="P3" s="207" t="s">
        <v>13</v>
      </c>
      <c r="Q3" s="209" t="s">
        <v>10</v>
      </c>
      <c r="R3" s="210" t="s">
        <v>11</v>
      </c>
      <c r="S3" s="205" t="s">
        <v>12</v>
      </c>
      <c r="T3" s="207" t="s">
        <v>13</v>
      </c>
    </row>
    <row r="4" spans="1:21" x14ac:dyDescent="0.25">
      <c r="B4" s="211"/>
      <c r="C4" s="211">
        <v>1</v>
      </c>
      <c r="D4" s="212" t="s">
        <v>14</v>
      </c>
      <c r="E4" s="213"/>
      <c r="F4" s="214"/>
      <c r="G4" s="215"/>
      <c r="H4" s="216"/>
      <c r="I4" s="213"/>
      <c r="J4" s="214"/>
      <c r="K4" s="215"/>
      <c r="L4" s="217"/>
      <c r="M4" s="218"/>
      <c r="N4" s="214"/>
      <c r="O4" s="215"/>
      <c r="P4" s="217"/>
      <c r="Q4" s="213"/>
      <c r="R4" s="214"/>
      <c r="S4" s="215"/>
      <c r="T4" s="217"/>
    </row>
    <row r="5" spans="1:21" ht="60" x14ac:dyDescent="0.25">
      <c r="B5" s="219"/>
      <c r="C5" s="219" t="s">
        <v>15</v>
      </c>
      <c r="D5" s="220" t="s">
        <v>16</v>
      </c>
      <c r="E5" s="221"/>
      <c r="F5" s="24"/>
      <c r="G5" s="24"/>
      <c r="H5" s="222"/>
      <c r="I5" s="221"/>
      <c r="J5" s="24"/>
      <c r="K5" s="24"/>
      <c r="L5" s="223"/>
      <c r="M5" s="224"/>
      <c r="N5" s="24"/>
      <c r="O5" s="24"/>
      <c r="P5" s="223"/>
      <c r="Q5" s="221"/>
      <c r="R5" s="24"/>
      <c r="S5" s="24"/>
      <c r="T5" s="223"/>
    </row>
    <row r="6" spans="1:21" ht="30" x14ac:dyDescent="0.25">
      <c r="B6" s="219" t="s">
        <v>17</v>
      </c>
      <c r="C6" s="219" t="s">
        <v>18</v>
      </c>
      <c r="D6" s="220" t="s">
        <v>213</v>
      </c>
      <c r="E6" s="225" t="s">
        <v>20</v>
      </c>
      <c r="F6" s="226">
        <v>3</v>
      </c>
      <c r="G6" s="94">
        <v>47862564.509999998</v>
      </c>
      <c r="H6" s="227">
        <v>143587693.53</v>
      </c>
      <c r="I6" s="225"/>
      <c r="J6" s="226"/>
      <c r="K6" s="24"/>
      <c r="L6" s="223"/>
      <c r="M6" s="228"/>
      <c r="N6" s="226"/>
      <c r="O6" s="95"/>
      <c r="P6" s="229"/>
      <c r="Q6" s="225"/>
      <c r="R6" s="226"/>
      <c r="S6" s="95"/>
      <c r="T6" s="229"/>
      <c r="U6" s="90" t="s">
        <v>214</v>
      </c>
    </row>
    <row r="7" spans="1:21" ht="45" x14ac:dyDescent="0.25">
      <c r="B7" s="219" t="s">
        <v>21</v>
      </c>
      <c r="C7" s="219" t="s">
        <v>22</v>
      </c>
      <c r="D7" s="220" t="s">
        <v>23</v>
      </c>
      <c r="E7" s="225"/>
      <c r="F7" s="226"/>
      <c r="G7" s="95"/>
      <c r="H7" s="227"/>
      <c r="I7" s="225" t="s">
        <v>20</v>
      </c>
      <c r="J7" s="226">
        <v>3</v>
      </c>
      <c r="K7" s="95">
        <v>82578119.609499991</v>
      </c>
      <c r="L7" s="229">
        <v>247734358.82849997</v>
      </c>
      <c r="M7" s="228"/>
      <c r="N7" s="226"/>
      <c r="O7" s="95"/>
      <c r="P7" s="229"/>
      <c r="Q7" s="225"/>
      <c r="R7" s="226"/>
      <c r="S7" s="95"/>
      <c r="T7" s="229"/>
      <c r="U7" s="90" t="s">
        <v>223</v>
      </c>
    </row>
    <row r="8" spans="1:21" ht="45" x14ac:dyDescent="0.25">
      <c r="B8" s="219" t="s">
        <v>24</v>
      </c>
      <c r="C8" s="219" t="s">
        <v>25</v>
      </c>
      <c r="D8" s="220" t="s">
        <v>26</v>
      </c>
      <c r="E8" s="225"/>
      <c r="F8" s="226"/>
      <c r="G8" s="95"/>
      <c r="H8" s="227"/>
      <c r="I8" s="225"/>
      <c r="J8" s="226"/>
      <c r="K8" s="95"/>
      <c r="L8" s="229"/>
      <c r="M8" s="228" t="s">
        <v>20</v>
      </c>
      <c r="N8" s="226">
        <v>3</v>
      </c>
      <c r="O8" s="95">
        <v>96939531.715500012</v>
      </c>
      <c r="P8" s="229">
        <v>290818595.14650005</v>
      </c>
      <c r="Q8" s="225"/>
      <c r="R8" s="226"/>
      <c r="S8" s="95"/>
      <c r="T8" s="229"/>
      <c r="U8" s="90" t="s">
        <v>222</v>
      </c>
    </row>
    <row r="9" spans="1:21" ht="30" x14ac:dyDescent="0.25">
      <c r="B9" s="219" t="s">
        <v>27</v>
      </c>
      <c r="C9" s="219" t="s">
        <v>28</v>
      </c>
      <c r="D9" s="220" t="s">
        <v>19</v>
      </c>
      <c r="E9" s="225"/>
      <c r="F9" s="226"/>
      <c r="G9" s="95"/>
      <c r="H9" s="227"/>
      <c r="I9" s="225"/>
      <c r="J9" s="226"/>
      <c r="K9" s="95"/>
      <c r="L9" s="229"/>
      <c r="M9" s="228"/>
      <c r="N9" s="226"/>
      <c r="O9" s="95"/>
      <c r="P9" s="229"/>
      <c r="Q9" s="225" t="s">
        <v>20</v>
      </c>
      <c r="R9" s="226">
        <v>3</v>
      </c>
      <c r="S9" s="95">
        <v>78962839.719999999</v>
      </c>
      <c r="T9" s="229">
        <v>236888519.16</v>
      </c>
      <c r="U9" s="90" t="s">
        <v>214</v>
      </c>
    </row>
    <row r="10" spans="1:21" x14ac:dyDescent="0.25">
      <c r="B10" s="219"/>
      <c r="C10" s="219"/>
      <c r="D10" s="220"/>
      <c r="E10" s="225"/>
      <c r="F10" s="226"/>
      <c r="G10" s="95"/>
      <c r="H10" s="227"/>
      <c r="I10" s="225"/>
      <c r="J10" s="226"/>
      <c r="K10" s="95"/>
      <c r="L10" s="229"/>
      <c r="M10" s="228"/>
      <c r="N10" s="226"/>
      <c r="O10" s="95"/>
      <c r="P10" s="229"/>
      <c r="Q10" s="225"/>
      <c r="R10" s="226"/>
      <c r="S10" s="95"/>
      <c r="T10" s="229"/>
    </row>
    <row r="11" spans="1:21" x14ac:dyDescent="0.25">
      <c r="B11" s="337" t="s">
        <v>165</v>
      </c>
      <c r="C11" s="230">
        <v>2</v>
      </c>
      <c r="D11" s="231" t="s">
        <v>30</v>
      </c>
      <c r="E11" s="232"/>
      <c r="F11" s="4"/>
      <c r="G11" s="3"/>
      <c r="H11" s="233"/>
      <c r="I11" s="232"/>
      <c r="J11" s="4"/>
      <c r="K11" s="3"/>
      <c r="L11" s="234"/>
      <c r="M11" s="235"/>
      <c r="N11" s="4"/>
      <c r="O11" s="3"/>
      <c r="P11" s="234"/>
      <c r="Q11" s="232"/>
      <c r="R11" s="4"/>
      <c r="S11" s="3"/>
      <c r="T11" s="234"/>
    </row>
    <row r="12" spans="1:21" ht="45" x14ac:dyDescent="0.25">
      <c r="B12" s="338"/>
      <c r="C12" s="236">
        <v>2.1</v>
      </c>
      <c r="D12" s="220" t="s">
        <v>31</v>
      </c>
      <c r="E12" s="225" t="s">
        <v>20</v>
      </c>
      <c r="F12" s="226">
        <v>6</v>
      </c>
      <c r="G12" s="237">
        <v>2105492.6741199996</v>
      </c>
      <c r="H12" s="227">
        <v>12632956.044719998</v>
      </c>
      <c r="I12" s="225" t="s">
        <v>20</v>
      </c>
      <c r="J12" s="226">
        <v>6</v>
      </c>
      <c r="K12" s="95">
        <v>1681166</v>
      </c>
      <c r="L12" s="229">
        <v>10086996</v>
      </c>
      <c r="M12" s="228" t="s">
        <v>20</v>
      </c>
      <c r="N12" s="226">
        <v>6</v>
      </c>
      <c r="O12" s="95">
        <v>1681166</v>
      </c>
      <c r="P12" s="229">
        <v>10086996</v>
      </c>
      <c r="Q12" s="225" t="s">
        <v>20</v>
      </c>
      <c r="R12" s="226">
        <v>6</v>
      </c>
      <c r="S12" s="95">
        <v>1681166</v>
      </c>
      <c r="T12" s="229">
        <v>10086996</v>
      </c>
      <c r="U12" s="90" t="s">
        <v>186</v>
      </c>
    </row>
    <row r="13" spans="1:21" ht="75" x14ac:dyDescent="0.25">
      <c r="B13" s="338"/>
      <c r="C13" s="236">
        <v>2.2000000000000002</v>
      </c>
      <c r="D13" s="220" t="s">
        <v>32</v>
      </c>
      <c r="E13" s="232"/>
      <c r="F13" s="4"/>
      <c r="G13" s="3"/>
      <c r="H13" s="238"/>
      <c r="I13" s="232"/>
      <c r="J13" s="4"/>
      <c r="K13" s="3"/>
      <c r="L13" s="239"/>
      <c r="M13" s="235"/>
      <c r="N13" s="4"/>
      <c r="O13" s="3"/>
      <c r="P13" s="239"/>
      <c r="Q13" s="232"/>
      <c r="R13" s="4"/>
      <c r="S13" s="3"/>
      <c r="T13" s="239"/>
    </row>
    <row r="14" spans="1:21" ht="30" x14ac:dyDescent="0.25">
      <c r="B14" s="338"/>
      <c r="C14" s="219" t="s">
        <v>15</v>
      </c>
      <c r="D14" s="220" t="s">
        <v>33</v>
      </c>
      <c r="E14" s="225" t="s">
        <v>20</v>
      </c>
      <c r="F14" s="226">
        <v>10</v>
      </c>
      <c r="G14" s="95">
        <v>259165.76972000001</v>
      </c>
      <c r="H14" s="227">
        <v>2591657.6972000003</v>
      </c>
      <c r="I14" s="225" t="s">
        <v>20</v>
      </c>
      <c r="J14" s="226">
        <v>10</v>
      </c>
      <c r="K14" s="95">
        <v>188123</v>
      </c>
      <c r="L14" s="229">
        <v>1881230</v>
      </c>
      <c r="M14" s="228" t="s">
        <v>20</v>
      </c>
      <c r="N14" s="226">
        <v>10</v>
      </c>
      <c r="O14" s="95">
        <v>188123</v>
      </c>
      <c r="P14" s="229">
        <v>1881230</v>
      </c>
      <c r="Q14" s="225" t="s">
        <v>20</v>
      </c>
      <c r="R14" s="226">
        <v>10</v>
      </c>
      <c r="S14" s="95">
        <v>188123</v>
      </c>
      <c r="T14" s="229">
        <v>1881230</v>
      </c>
      <c r="U14" s="90" t="s">
        <v>187</v>
      </c>
    </row>
    <row r="15" spans="1:21" ht="30" x14ac:dyDescent="0.25">
      <c r="B15" s="338"/>
      <c r="C15" s="219" t="s">
        <v>34</v>
      </c>
      <c r="D15" s="240" t="s">
        <v>35</v>
      </c>
      <c r="E15" s="225" t="s">
        <v>20</v>
      </c>
      <c r="F15" s="226">
        <v>7</v>
      </c>
      <c r="G15" s="95">
        <v>326284.39052000002</v>
      </c>
      <c r="H15" s="227">
        <v>2283990.7336400002</v>
      </c>
      <c r="I15" s="225" t="s">
        <v>20</v>
      </c>
      <c r="J15" s="226">
        <v>7</v>
      </c>
      <c r="K15" s="95">
        <v>236843</v>
      </c>
      <c r="L15" s="229">
        <v>1657901</v>
      </c>
      <c r="M15" s="228" t="s">
        <v>20</v>
      </c>
      <c r="N15" s="226">
        <v>7</v>
      </c>
      <c r="O15" s="95">
        <v>236843</v>
      </c>
      <c r="P15" s="229">
        <v>1657901</v>
      </c>
      <c r="Q15" s="225" t="s">
        <v>20</v>
      </c>
      <c r="R15" s="226">
        <v>7</v>
      </c>
      <c r="S15" s="95">
        <v>236843</v>
      </c>
      <c r="T15" s="229">
        <v>1657901</v>
      </c>
      <c r="U15" s="90" t="s">
        <v>187</v>
      </c>
    </row>
    <row r="16" spans="1:21" ht="45" x14ac:dyDescent="0.25">
      <c r="B16" s="338"/>
      <c r="C16" s="219" t="s">
        <v>36</v>
      </c>
      <c r="D16" s="240" t="s">
        <v>37</v>
      </c>
      <c r="E16" s="225" t="s">
        <v>20</v>
      </c>
      <c r="F16" s="226">
        <v>9</v>
      </c>
      <c r="G16" s="95">
        <v>326284.39052000002</v>
      </c>
      <c r="H16" s="227">
        <v>2936559.51468</v>
      </c>
      <c r="I16" s="225" t="s">
        <v>20</v>
      </c>
      <c r="J16" s="226">
        <v>9</v>
      </c>
      <c r="K16" s="95">
        <v>355265</v>
      </c>
      <c r="L16" s="229">
        <v>3197385</v>
      </c>
      <c r="M16" s="228" t="s">
        <v>20</v>
      </c>
      <c r="N16" s="226">
        <v>9</v>
      </c>
      <c r="O16" s="95">
        <v>355265</v>
      </c>
      <c r="P16" s="229">
        <v>3197385</v>
      </c>
      <c r="Q16" s="225" t="s">
        <v>20</v>
      </c>
      <c r="R16" s="226">
        <v>9</v>
      </c>
      <c r="S16" s="95">
        <v>355265</v>
      </c>
      <c r="T16" s="229">
        <v>3197385</v>
      </c>
      <c r="U16" s="90" t="s">
        <v>215</v>
      </c>
    </row>
    <row r="17" spans="2:21" ht="30" x14ac:dyDescent="0.25">
      <c r="B17" s="338"/>
      <c r="C17" s="236">
        <v>2.2999999999999998</v>
      </c>
      <c r="D17" s="220" t="s">
        <v>38</v>
      </c>
      <c r="E17" s="225" t="s">
        <v>20</v>
      </c>
      <c r="F17" s="226">
        <v>15</v>
      </c>
      <c r="G17" s="95">
        <v>326284.39052000002</v>
      </c>
      <c r="H17" s="227">
        <v>4894265.8578000003</v>
      </c>
      <c r="I17" s="225" t="s">
        <v>20</v>
      </c>
      <c r="J17" s="226">
        <v>15</v>
      </c>
      <c r="K17" s="95">
        <v>92000</v>
      </c>
      <c r="L17" s="229">
        <v>1380000</v>
      </c>
      <c r="M17" s="228" t="s">
        <v>20</v>
      </c>
      <c r="N17" s="226">
        <v>15</v>
      </c>
      <c r="O17" s="95">
        <v>92000</v>
      </c>
      <c r="P17" s="229">
        <v>1380000</v>
      </c>
      <c r="Q17" s="225" t="s">
        <v>20</v>
      </c>
      <c r="R17" s="226">
        <v>15</v>
      </c>
      <c r="S17" s="95">
        <v>92000</v>
      </c>
      <c r="T17" s="229">
        <v>1380000</v>
      </c>
      <c r="U17" s="90" t="s">
        <v>188</v>
      </c>
    </row>
    <row r="18" spans="2:21" ht="30" x14ac:dyDescent="0.25">
      <c r="B18" s="338"/>
      <c r="C18" s="236">
        <v>2.4</v>
      </c>
      <c r="D18" s="220" t="s">
        <v>39</v>
      </c>
      <c r="E18" s="232"/>
      <c r="F18" s="4"/>
      <c r="G18" s="3"/>
      <c r="H18" s="238"/>
      <c r="I18" s="232"/>
      <c r="J18" s="4"/>
      <c r="K18" s="3"/>
      <c r="L18" s="239"/>
      <c r="M18" s="235"/>
      <c r="N18" s="4"/>
      <c r="O18" s="3"/>
      <c r="P18" s="239"/>
      <c r="Q18" s="232"/>
      <c r="R18" s="4"/>
      <c r="S18" s="3"/>
      <c r="T18" s="239"/>
    </row>
    <row r="19" spans="2:21" ht="30" x14ac:dyDescent="0.25">
      <c r="B19" s="338"/>
      <c r="C19" s="219" t="s">
        <v>15</v>
      </c>
      <c r="D19" s="220" t="s">
        <v>40</v>
      </c>
      <c r="E19" s="225" t="s">
        <v>20</v>
      </c>
      <c r="F19" s="226">
        <v>9</v>
      </c>
      <c r="G19" s="95">
        <v>100016.66399999999</v>
      </c>
      <c r="H19" s="227">
        <v>900149.97599999991</v>
      </c>
      <c r="I19" s="225" t="s">
        <v>20</v>
      </c>
      <c r="J19" s="226">
        <v>9</v>
      </c>
      <c r="K19" s="95">
        <v>72600</v>
      </c>
      <c r="L19" s="229">
        <v>653400</v>
      </c>
      <c r="M19" s="228" t="s">
        <v>20</v>
      </c>
      <c r="N19" s="226">
        <v>9</v>
      </c>
      <c r="O19" s="95">
        <v>72600</v>
      </c>
      <c r="P19" s="229">
        <v>653400</v>
      </c>
      <c r="Q19" s="225" t="s">
        <v>20</v>
      </c>
      <c r="R19" s="226">
        <v>9</v>
      </c>
      <c r="S19" s="95">
        <v>72600</v>
      </c>
      <c r="T19" s="229">
        <v>653400</v>
      </c>
      <c r="U19" s="90" t="s">
        <v>187</v>
      </c>
    </row>
    <row r="20" spans="2:21" ht="30" x14ac:dyDescent="0.25">
      <c r="B20" s="338"/>
      <c r="C20" s="219" t="s">
        <v>34</v>
      </c>
      <c r="D20" s="220" t="s">
        <v>41</v>
      </c>
      <c r="E20" s="225" t="s">
        <v>20</v>
      </c>
      <c r="F20" s="226">
        <v>12</v>
      </c>
      <c r="G20" s="95">
        <v>107593.68399999999</v>
      </c>
      <c r="H20" s="227">
        <v>1291124.2079999999</v>
      </c>
      <c r="I20" s="225" t="s">
        <v>20</v>
      </c>
      <c r="J20" s="226">
        <v>12</v>
      </c>
      <c r="K20" s="95">
        <v>78100</v>
      </c>
      <c r="L20" s="229">
        <v>937200</v>
      </c>
      <c r="M20" s="228" t="s">
        <v>20</v>
      </c>
      <c r="N20" s="226">
        <v>12</v>
      </c>
      <c r="O20" s="95">
        <v>78100</v>
      </c>
      <c r="P20" s="229">
        <v>937200</v>
      </c>
      <c r="Q20" s="225" t="s">
        <v>20</v>
      </c>
      <c r="R20" s="226">
        <v>12</v>
      </c>
      <c r="S20" s="95">
        <v>78100</v>
      </c>
      <c r="T20" s="229">
        <v>937200</v>
      </c>
      <c r="U20" s="90" t="s">
        <v>187</v>
      </c>
    </row>
    <row r="21" spans="2:21" ht="30" x14ac:dyDescent="0.25">
      <c r="B21" s="338"/>
      <c r="C21" s="236">
        <v>2.5</v>
      </c>
      <c r="D21" s="220" t="s">
        <v>42</v>
      </c>
      <c r="E21" s="225" t="s">
        <v>20</v>
      </c>
      <c r="F21" s="226">
        <v>12</v>
      </c>
      <c r="G21" s="95">
        <v>74231.376120000001</v>
      </c>
      <c r="H21" s="227">
        <v>890776.51344000001</v>
      </c>
      <c r="I21" s="225" t="s">
        <v>20</v>
      </c>
      <c r="J21" s="226">
        <v>12</v>
      </c>
      <c r="K21" s="95">
        <v>61965</v>
      </c>
      <c r="L21" s="229">
        <v>743580</v>
      </c>
      <c r="M21" s="228" t="s">
        <v>20</v>
      </c>
      <c r="N21" s="226">
        <v>12</v>
      </c>
      <c r="O21" s="95">
        <v>61965</v>
      </c>
      <c r="P21" s="229">
        <v>743580</v>
      </c>
      <c r="Q21" s="225" t="s">
        <v>20</v>
      </c>
      <c r="R21" s="226">
        <v>12</v>
      </c>
      <c r="S21" s="95">
        <v>61965</v>
      </c>
      <c r="T21" s="229">
        <v>743580</v>
      </c>
      <c r="U21" s="90" t="s">
        <v>189</v>
      </c>
    </row>
    <row r="22" spans="2:21" ht="30" x14ac:dyDescent="0.25">
      <c r="B22" s="338"/>
      <c r="C22" s="236">
        <v>2.6</v>
      </c>
      <c r="D22" s="220" t="s">
        <v>43</v>
      </c>
      <c r="E22" s="225" t="s">
        <v>20</v>
      </c>
      <c r="F22" s="226">
        <v>6</v>
      </c>
      <c r="G22" s="95">
        <v>74231.376120000001</v>
      </c>
      <c r="H22" s="227">
        <v>445388.25672</v>
      </c>
      <c r="I22" s="225" t="s">
        <v>20</v>
      </c>
      <c r="J22" s="226">
        <v>6</v>
      </c>
      <c r="K22" s="95">
        <v>61965</v>
      </c>
      <c r="L22" s="229">
        <v>371790</v>
      </c>
      <c r="M22" s="228" t="s">
        <v>20</v>
      </c>
      <c r="N22" s="226">
        <v>6</v>
      </c>
      <c r="O22" s="95">
        <v>61965</v>
      </c>
      <c r="P22" s="229">
        <v>371790</v>
      </c>
      <c r="Q22" s="225" t="s">
        <v>20</v>
      </c>
      <c r="R22" s="226">
        <v>6</v>
      </c>
      <c r="S22" s="95">
        <v>61965</v>
      </c>
      <c r="T22" s="229">
        <v>371790</v>
      </c>
      <c r="U22" s="90" t="s">
        <v>189</v>
      </c>
    </row>
    <row r="23" spans="2:21" ht="30" x14ac:dyDescent="0.25">
      <c r="B23" s="338"/>
      <c r="C23" s="236">
        <v>2.7</v>
      </c>
      <c r="D23" s="220" t="s">
        <v>44</v>
      </c>
      <c r="E23" s="225" t="s">
        <v>20</v>
      </c>
      <c r="F23" s="226">
        <v>6</v>
      </c>
      <c r="G23" s="95">
        <v>24254.97</v>
      </c>
      <c r="H23" s="227">
        <v>145529.82</v>
      </c>
      <c r="I23" s="225" t="s">
        <v>20</v>
      </c>
      <c r="J23" s="226">
        <v>6</v>
      </c>
      <c r="K23" s="95">
        <v>24254.97</v>
      </c>
      <c r="L23" s="229">
        <v>145529.82</v>
      </c>
      <c r="M23" s="228" t="s">
        <v>20</v>
      </c>
      <c r="N23" s="226">
        <v>6</v>
      </c>
      <c r="O23" s="95">
        <v>24254.97</v>
      </c>
      <c r="P23" s="229">
        <v>145529.82</v>
      </c>
      <c r="Q23" s="225" t="s">
        <v>20</v>
      </c>
      <c r="R23" s="226">
        <v>6</v>
      </c>
      <c r="S23" s="95">
        <v>24254.97</v>
      </c>
      <c r="T23" s="229">
        <v>145529.82</v>
      </c>
      <c r="U23" s="90" t="s">
        <v>216</v>
      </c>
    </row>
    <row r="24" spans="2:21" x14ac:dyDescent="0.25">
      <c r="B24" s="338"/>
      <c r="C24" s="230">
        <v>3</v>
      </c>
      <c r="D24" s="231" t="s">
        <v>45</v>
      </c>
      <c r="E24" s="232"/>
      <c r="F24" s="4"/>
      <c r="G24" s="3"/>
      <c r="H24" s="238"/>
      <c r="I24" s="232"/>
      <c r="J24" s="4"/>
      <c r="K24" s="3"/>
      <c r="L24" s="239"/>
      <c r="M24" s="235"/>
      <c r="N24" s="4"/>
      <c r="O24" s="3"/>
      <c r="P24" s="239"/>
      <c r="Q24" s="232"/>
      <c r="R24" s="4"/>
      <c r="S24" s="3"/>
      <c r="T24" s="239"/>
    </row>
    <row r="25" spans="2:21" ht="45" x14ac:dyDescent="0.25">
      <c r="B25" s="338"/>
      <c r="C25" s="236">
        <v>3.1</v>
      </c>
      <c r="D25" s="220" t="s">
        <v>46</v>
      </c>
      <c r="E25" s="225" t="s">
        <v>47</v>
      </c>
      <c r="F25" s="226">
        <v>12</v>
      </c>
      <c r="G25" s="241">
        <v>1867.9786000000001</v>
      </c>
      <c r="H25" s="227">
        <v>22415.743200000001</v>
      </c>
      <c r="I25" s="225" t="s">
        <v>47</v>
      </c>
      <c r="J25" s="226">
        <v>12</v>
      </c>
      <c r="K25" s="95">
        <v>1867.9786000000001</v>
      </c>
      <c r="L25" s="229">
        <v>22415.743200000001</v>
      </c>
      <c r="M25" s="228" t="s">
        <v>47</v>
      </c>
      <c r="N25" s="226">
        <v>12</v>
      </c>
      <c r="O25" s="95">
        <v>1867.9786000000001</v>
      </c>
      <c r="P25" s="229">
        <v>22415.743200000001</v>
      </c>
      <c r="Q25" s="225" t="s">
        <v>47</v>
      </c>
      <c r="R25" s="226">
        <v>12</v>
      </c>
      <c r="S25" s="95">
        <v>1867.9786000000001</v>
      </c>
      <c r="T25" s="229">
        <v>22415.743200000001</v>
      </c>
      <c r="U25" s="90" t="s">
        <v>217</v>
      </c>
    </row>
    <row r="26" spans="2:21" ht="30" x14ac:dyDescent="0.25">
      <c r="B26" s="338"/>
      <c r="C26" s="236">
        <v>3.2</v>
      </c>
      <c r="D26" s="220" t="s">
        <v>48</v>
      </c>
      <c r="E26" s="225" t="s">
        <v>20</v>
      </c>
      <c r="F26" s="226">
        <v>12</v>
      </c>
      <c r="G26" s="241">
        <v>1746.1859999999999</v>
      </c>
      <c r="H26" s="227">
        <v>20954.232</v>
      </c>
      <c r="I26" s="225" t="s">
        <v>20</v>
      </c>
      <c r="J26" s="226">
        <v>12</v>
      </c>
      <c r="K26" s="95">
        <v>1746.1859999999999</v>
      </c>
      <c r="L26" s="229">
        <v>20954.232</v>
      </c>
      <c r="M26" s="228" t="s">
        <v>20</v>
      </c>
      <c r="N26" s="226">
        <v>12</v>
      </c>
      <c r="O26" s="95">
        <v>1746.1859999999999</v>
      </c>
      <c r="P26" s="229">
        <v>20954.232</v>
      </c>
      <c r="Q26" s="225" t="s">
        <v>20</v>
      </c>
      <c r="R26" s="226">
        <v>12</v>
      </c>
      <c r="S26" s="95">
        <v>1746.1859999999999</v>
      </c>
      <c r="T26" s="229">
        <v>20954.232</v>
      </c>
      <c r="U26" s="90" t="s">
        <v>217</v>
      </c>
    </row>
    <row r="27" spans="2:21" ht="45" x14ac:dyDescent="0.25">
      <c r="B27" s="338"/>
      <c r="C27" s="230">
        <v>4</v>
      </c>
      <c r="D27" s="242" t="s">
        <v>49</v>
      </c>
      <c r="E27" s="243" t="s">
        <v>50</v>
      </c>
      <c r="F27" s="5">
        <v>1</v>
      </c>
      <c r="G27" s="65">
        <v>150000</v>
      </c>
      <c r="H27" s="244">
        <v>150000</v>
      </c>
      <c r="I27" s="243" t="s">
        <v>50</v>
      </c>
      <c r="J27" s="5">
        <v>1</v>
      </c>
      <c r="K27" s="65">
        <v>150000</v>
      </c>
      <c r="L27" s="245">
        <v>150000</v>
      </c>
      <c r="M27" s="246" t="s">
        <v>50</v>
      </c>
      <c r="N27" s="5">
        <v>1</v>
      </c>
      <c r="O27" s="65">
        <v>150000</v>
      </c>
      <c r="P27" s="245">
        <v>150000</v>
      </c>
      <c r="Q27" s="243" t="s">
        <v>50</v>
      </c>
      <c r="R27" s="5">
        <v>1</v>
      </c>
      <c r="S27" s="65">
        <v>150000</v>
      </c>
      <c r="T27" s="245">
        <v>150000</v>
      </c>
    </row>
    <row r="28" spans="2:21" x14ac:dyDescent="0.25">
      <c r="B28" s="338"/>
      <c r="C28" s="247"/>
      <c r="D28" s="242" t="s">
        <v>51</v>
      </c>
      <c r="E28" s="232"/>
      <c r="F28" s="4"/>
      <c r="G28" s="3"/>
      <c r="H28" s="238"/>
      <c r="I28" s="232"/>
      <c r="J28" s="4"/>
      <c r="K28" s="3"/>
      <c r="L28" s="239"/>
      <c r="M28" s="235"/>
      <c r="N28" s="4"/>
      <c r="O28" s="3"/>
      <c r="P28" s="239"/>
      <c r="Q28" s="232"/>
      <c r="R28" s="4"/>
      <c r="S28" s="3"/>
      <c r="T28" s="239"/>
    </row>
    <row r="29" spans="2:21" x14ac:dyDescent="0.25">
      <c r="B29" s="338"/>
      <c r="C29" s="248"/>
      <c r="D29" s="242" t="s">
        <v>52</v>
      </c>
      <c r="E29" s="232"/>
      <c r="F29" s="4"/>
      <c r="G29" s="3"/>
      <c r="H29" s="238"/>
      <c r="I29" s="232"/>
      <c r="J29" s="4"/>
      <c r="K29" s="3"/>
      <c r="L29" s="239"/>
      <c r="M29" s="235"/>
      <c r="N29" s="4"/>
      <c r="O29" s="3"/>
      <c r="P29" s="239"/>
      <c r="Q29" s="232"/>
      <c r="R29" s="4"/>
      <c r="S29" s="3"/>
      <c r="T29" s="239"/>
    </row>
    <row r="30" spans="2:21" x14ac:dyDescent="0.25">
      <c r="B30" s="338"/>
      <c r="C30" s="230">
        <v>5</v>
      </c>
      <c r="D30" s="242" t="s">
        <v>53</v>
      </c>
      <c r="E30" s="232"/>
      <c r="F30" s="4"/>
      <c r="G30" s="3"/>
      <c r="H30" s="238"/>
      <c r="I30" s="232"/>
      <c r="J30" s="4"/>
      <c r="K30" s="3"/>
      <c r="L30" s="239"/>
      <c r="M30" s="235"/>
      <c r="N30" s="4"/>
      <c r="O30" s="3"/>
      <c r="P30" s="239"/>
      <c r="Q30" s="232"/>
      <c r="R30" s="4"/>
      <c r="S30" s="3"/>
      <c r="T30" s="239"/>
    </row>
    <row r="31" spans="2:21" x14ac:dyDescent="0.25">
      <c r="B31" s="338"/>
      <c r="C31" s="236">
        <v>5.0999999999999996</v>
      </c>
      <c r="D31" s="242" t="s">
        <v>54</v>
      </c>
      <c r="E31" s="232"/>
      <c r="F31" s="4"/>
      <c r="G31" s="3"/>
      <c r="H31" s="238"/>
      <c r="I31" s="232"/>
      <c r="J31" s="4"/>
      <c r="K31" s="3"/>
      <c r="L31" s="239"/>
      <c r="M31" s="235"/>
      <c r="N31" s="4"/>
      <c r="O31" s="3"/>
      <c r="P31" s="239"/>
      <c r="Q31" s="232"/>
      <c r="R31" s="4"/>
      <c r="S31" s="3"/>
      <c r="T31" s="239"/>
    </row>
    <row r="32" spans="2:21" ht="30" x14ac:dyDescent="0.25">
      <c r="B32" s="338"/>
      <c r="C32" s="219" t="s">
        <v>15</v>
      </c>
      <c r="D32" s="220" t="s">
        <v>55</v>
      </c>
      <c r="E32" s="232"/>
      <c r="F32" s="4"/>
      <c r="G32" s="3"/>
      <c r="H32" s="238"/>
      <c r="I32" s="232"/>
      <c r="J32" s="4"/>
      <c r="K32" s="3"/>
      <c r="L32" s="239"/>
      <c r="M32" s="235"/>
      <c r="N32" s="4"/>
      <c r="O32" s="3"/>
      <c r="P32" s="239"/>
      <c r="Q32" s="232"/>
      <c r="R32" s="4"/>
      <c r="S32" s="3"/>
      <c r="T32" s="239"/>
    </row>
    <row r="33" spans="2:21" ht="30" x14ac:dyDescent="0.25">
      <c r="B33" s="338"/>
      <c r="C33" s="219" t="s">
        <v>56</v>
      </c>
      <c r="D33" s="220" t="s">
        <v>57</v>
      </c>
      <c r="E33" s="225" t="s">
        <v>58</v>
      </c>
      <c r="F33" s="226">
        <v>300</v>
      </c>
      <c r="G33" s="95">
        <v>3000</v>
      </c>
      <c r="H33" s="227">
        <v>900000</v>
      </c>
      <c r="I33" s="225" t="s">
        <v>58</v>
      </c>
      <c r="J33" s="226">
        <v>300</v>
      </c>
      <c r="K33" s="95">
        <v>3000</v>
      </c>
      <c r="L33" s="229">
        <v>900000</v>
      </c>
      <c r="M33" s="228" t="s">
        <v>58</v>
      </c>
      <c r="N33" s="226">
        <v>300</v>
      </c>
      <c r="O33" s="95">
        <v>3000</v>
      </c>
      <c r="P33" s="229">
        <v>900000</v>
      </c>
      <c r="Q33" s="225" t="s">
        <v>58</v>
      </c>
      <c r="R33" s="226">
        <v>300</v>
      </c>
      <c r="S33" s="95">
        <v>3000</v>
      </c>
      <c r="T33" s="229">
        <v>900000</v>
      </c>
      <c r="U33" s="90" t="s">
        <v>193</v>
      </c>
    </row>
    <row r="34" spans="2:21" ht="48.75" x14ac:dyDescent="0.25">
      <c r="B34" s="338"/>
      <c r="C34" s="219" t="s">
        <v>59</v>
      </c>
      <c r="D34" s="220" t="s">
        <v>60</v>
      </c>
      <c r="E34" s="225" t="s">
        <v>47</v>
      </c>
      <c r="F34" s="226">
        <v>6</v>
      </c>
      <c r="G34" s="95">
        <v>10000</v>
      </c>
      <c r="H34" s="227">
        <v>60000</v>
      </c>
      <c r="I34" s="225" t="s">
        <v>47</v>
      </c>
      <c r="J34" s="226">
        <v>6</v>
      </c>
      <c r="K34" s="95">
        <v>10000</v>
      </c>
      <c r="L34" s="229">
        <v>60000</v>
      </c>
      <c r="M34" s="228" t="s">
        <v>47</v>
      </c>
      <c r="N34" s="226">
        <v>6</v>
      </c>
      <c r="O34" s="95">
        <v>10000</v>
      </c>
      <c r="P34" s="229">
        <v>60000</v>
      </c>
      <c r="Q34" s="225" t="s">
        <v>47</v>
      </c>
      <c r="R34" s="226">
        <v>6</v>
      </c>
      <c r="S34" s="95">
        <v>10000</v>
      </c>
      <c r="T34" s="229">
        <v>60000</v>
      </c>
    </row>
    <row r="35" spans="2:21" ht="75" x14ac:dyDescent="0.25">
      <c r="B35" s="338"/>
      <c r="C35" s="219" t="s">
        <v>34</v>
      </c>
      <c r="D35" s="220" t="s">
        <v>61</v>
      </c>
      <c r="E35" s="232"/>
      <c r="F35" s="4"/>
      <c r="G35" s="3"/>
      <c r="H35" s="238"/>
      <c r="I35" s="232"/>
      <c r="J35" s="4"/>
      <c r="K35" s="3"/>
      <c r="L35" s="239"/>
      <c r="M35" s="235"/>
      <c r="N35" s="4"/>
      <c r="O35" s="3"/>
      <c r="P35" s="239"/>
      <c r="Q35" s="232"/>
      <c r="R35" s="4"/>
      <c r="S35" s="3"/>
      <c r="T35" s="239"/>
    </row>
    <row r="36" spans="2:21" ht="83.25" customHeight="1" x14ac:dyDescent="0.25">
      <c r="B36" s="338"/>
      <c r="C36" s="219" t="s">
        <v>56</v>
      </c>
      <c r="D36" s="220" t="s">
        <v>62</v>
      </c>
      <c r="E36" s="225" t="s">
        <v>58</v>
      </c>
      <c r="F36" s="226">
        <v>250</v>
      </c>
      <c r="G36" s="95">
        <v>172</v>
      </c>
      <c r="H36" s="227">
        <v>43000</v>
      </c>
      <c r="I36" s="225" t="s">
        <v>58</v>
      </c>
      <c r="J36" s="226">
        <v>250</v>
      </c>
      <c r="K36" s="95">
        <v>172</v>
      </c>
      <c r="L36" s="229">
        <v>43000</v>
      </c>
      <c r="M36" s="228" t="s">
        <v>58</v>
      </c>
      <c r="N36" s="226">
        <v>250</v>
      </c>
      <c r="O36" s="95">
        <v>172</v>
      </c>
      <c r="P36" s="229">
        <v>43000</v>
      </c>
      <c r="Q36" s="225" t="s">
        <v>58</v>
      </c>
      <c r="R36" s="226">
        <v>250</v>
      </c>
      <c r="S36" s="95">
        <v>172</v>
      </c>
      <c r="T36" s="229">
        <v>43000</v>
      </c>
      <c r="U36" s="90" t="s">
        <v>195</v>
      </c>
    </row>
    <row r="37" spans="2:21" ht="62.25" customHeight="1" x14ac:dyDescent="0.25">
      <c r="B37" s="338"/>
      <c r="C37" s="219" t="s">
        <v>59</v>
      </c>
      <c r="D37" s="220" t="s">
        <v>63</v>
      </c>
      <c r="E37" s="225" t="s">
        <v>58</v>
      </c>
      <c r="F37" s="226">
        <v>200</v>
      </c>
      <c r="G37" s="95">
        <v>192</v>
      </c>
      <c r="H37" s="227">
        <v>38400</v>
      </c>
      <c r="I37" s="225" t="s">
        <v>58</v>
      </c>
      <c r="J37" s="226">
        <v>200</v>
      </c>
      <c r="K37" s="95">
        <v>192</v>
      </c>
      <c r="L37" s="229">
        <v>38400</v>
      </c>
      <c r="M37" s="228" t="s">
        <v>58</v>
      </c>
      <c r="N37" s="226">
        <v>200</v>
      </c>
      <c r="O37" s="95">
        <v>192</v>
      </c>
      <c r="P37" s="229">
        <v>38400</v>
      </c>
      <c r="Q37" s="225" t="s">
        <v>58</v>
      </c>
      <c r="R37" s="226">
        <v>200</v>
      </c>
      <c r="S37" s="95">
        <v>192</v>
      </c>
      <c r="T37" s="229">
        <v>38400</v>
      </c>
      <c r="U37" s="90" t="s">
        <v>195</v>
      </c>
    </row>
    <row r="38" spans="2:21" ht="30" x14ac:dyDescent="0.25">
      <c r="B38" s="338"/>
      <c r="C38" s="219" t="s">
        <v>64</v>
      </c>
      <c r="D38" s="220" t="s">
        <v>65</v>
      </c>
      <c r="E38" s="225" t="s">
        <v>58</v>
      </c>
      <c r="F38" s="226">
        <v>50</v>
      </c>
      <c r="G38" s="95">
        <v>548.83399999999995</v>
      </c>
      <c r="H38" s="227">
        <v>27441.699999999997</v>
      </c>
      <c r="I38" s="225" t="s">
        <v>58</v>
      </c>
      <c r="J38" s="226">
        <v>50</v>
      </c>
      <c r="K38" s="95">
        <v>494</v>
      </c>
      <c r="L38" s="229">
        <v>24700</v>
      </c>
      <c r="M38" s="228" t="s">
        <v>58</v>
      </c>
      <c r="N38" s="226">
        <v>50</v>
      </c>
      <c r="O38" s="95">
        <v>494</v>
      </c>
      <c r="P38" s="229">
        <v>24700</v>
      </c>
      <c r="Q38" s="225" t="s">
        <v>58</v>
      </c>
      <c r="R38" s="226">
        <v>50</v>
      </c>
      <c r="S38" s="95">
        <v>494</v>
      </c>
      <c r="T38" s="229">
        <v>24700</v>
      </c>
      <c r="U38" s="90" t="s">
        <v>196</v>
      </c>
    </row>
    <row r="39" spans="2:21" ht="48.75" x14ac:dyDescent="0.25">
      <c r="B39" s="338"/>
      <c r="C39" s="219" t="s">
        <v>36</v>
      </c>
      <c r="D39" s="220" t="s">
        <v>66</v>
      </c>
      <c r="E39" s="225" t="s">
        <v>58</v>
      </c>
      <c r="F39" s="226">
        <v>20</v>
      </c>
      <c r="G39" s="95">
        <v>423.291</v>
      </c>
      <c r="H39" s="227">
        <v>8465.82</v>
      </c>
      <c r="I39" s="225" t="s">
        <v>58</v>
      </c>
      <c r="J39" s="226">
        <v>20</v>
      </c>
      <c r="K39" s="95">
        <v>381</v>
      </c>
      <c r="L39" s="229">
        <v>7620</v>
      </c>
      <c r="M39" s="228" t="s">
        <v>58</v>
      </c>
      <c r="N39" s="226">
        <v>20</v>
      </c>
      <c r="O39" s="95">
        <v>381</v>
      </c>
      <c r="P39" s="229">
        <v>7620</v>
      </c>
      <c r="Q39" s="225" t="s">
        <v>58</v>
      </c>
      <c r="R39" s="226">
        <v>20</v>
      </c>
      <c r="S39" s="95">
        <v>381</v>
      </c>
      <c r="T39" s="229">
        <v>7620</v>
      </c>
      <c r="U39" s="90" t="s">
        <v>196</v>
      </c>
    </row>
    <row r="40" spans="2:21" ht="48.75" x14ac:dyDescent="0.25">
      <c r="B40" s="338"/>
      <c r="C40" s="219" t="s">
        <v>67</v>
      </c>
      <c r="D40" s="220" t="s">
        <v>68</v>
      </c>
      <c r="E40" s="225" t="s">
        <v>58</v>
      </c>
      <c r="F40" s="226">
        <v>300</v>
      </c>
      <c r="G40" s="95">
        <v>423.291</v>
      </c>
      <c r="H40" s="227">
        <v>126987.3</v>
      </c>
      <c r="I40" s="225" t="s">
        <v>58</v>
      </c>
      <c r="J40" s="226">
        <v>300</v>
      </c>
      <c r="K40" s="95">
        <v>381</v>
      </c>
      <c r="L40" s="229">
        <v>114300</v>
      </c>
      <c r="M40" s="228" t="s">
        <v>58</v>
      </c>
      <c r="N40" s="226">
        <v>300</v>
      </c>
      <c r="O40" s="95">
        <v>381</v>
      </c>
      <c r="P40" s="229">
        <v>114300</v>
      </c>
      <c r="Q40" s="225" t="s">
        <v>58</v>
      </c>
      <c r="R40" s="226">
        <v>300</v>
      </c>
      <c r="S40" s="95">
        <v>381</v>
      </c>
      <c r="T40" s="229">
        <v>114300</v>
      </c>
      <c r="U40" s="90" t="s">
        <v>196</v>
      </c>
    </row>
    <row r="41" spans="2:21" ht="45" x14ac:dyDescent="0.25">
      <c r="B41" s="338"/>
      <c r="C41" s="219" t="s">
        <v>69</v>
      </c>
      <c r="D41" s="220" t="s">
        <v>70</v>
      </c>
      <c r="E41" s="225" t="s">
        <v>58</v>
      </c>
      <c r="F41" s="226">
        <v>25</v>
      </c>
      <c r="G41" s="95">
        <v>650.52</v>
      </c>
      <c r="H41" s="227">
        <v>16263</v>
      </c>
      <c r="I41" s="225" t="s">
        <v>58</v>
      </c>
      <c r="J41" s="226">
        <v>25</v>
      </c>
      <c r="K41" s="95">
        <v>650.52</v>
      </c>
      <c r="L41" s="229">
        <v>16263</v>
      </c>
      <c r="M41" s="228" t="s">
        <v>58</v>
      </c>
      <c r="N41" s="226">
        <v>25</v>
      </c>
      <c r="O41" s="95">
        <v>650.52</v>
      </c>
      <c r="P41" s="229">
        <v>16263</v>
      </c>
      <c r="Q41" s="225" t="s">
        <v>58</v>
      </c>
      <c r="R41" s="226">
        <v>25</v>
      </c>
      <c r="S41" s="95">
        <v>650.52</v>
      </c>
      <c r="T41" s="229">
        <v>16263</v>
      </c>
      <c r="U41" s="90" t="s">
        <v>193</v>
      </c>
    </row>
    <row r="42" spans="2:21" ht="30" x14ac:dyDescent="0.25">
      <c r="B42" s="338"/>
      <c r="C42" s="219" t="s">
        <v>71</v>
      </c>
      <c r="D42" s="220" t="s">
        <v>72</v>
      </c>
      <c r="E42" s="225" t="s">
        <v>73</v>
      </c>
      <c r="F42" s="226">
        <v>1</v>
      </c>
      <c r="G42" s="95">
        <v>30000</v>
      </c>
      <c r="H42" s="227">
        <v>30000</v>
      </c>
      <c r="I42" s="225" t="s">
        <v>73</v>
      </c>
      <c r="J42" s="226">
        <v>1</v>
      </c>
      <c r="K42" s="95">
        <v>30000</v>
      </c>
      <c r="L42" s="229">
        <v>30000</v>
      </c>
      <c r="M42" s="228" t="s">
        <v>73</v>
      </c>
      <c r="N42" s="226">
        <v>1</v>
      </c>
      <c r="O42" s="95">
        <v>30000</v>
      </c>
      <c r="P42" s="229">
        <v>30000</v>
      </c>
      <c r="Q42" s="225" t="s">
        <v>73</v>
      </c>
      <c r="R42" s="226">
        <v>1</v>
      </c>
      <c r="S42" s="95">
        <v>30000</v>
      </c>
      <c r="T42" s="229">
        <v>30000</v>
      </c>
    </row>
    <row r="43" spans="2:21" x14ac:dyDescent="0.25">
      <c r="B43" s="338"/>
      <c r="C43" s="236">
        <v>5.2</v>
      </c>
      <c r="D43" s="242" t="s">
        <v>74</v>
      </c>
      <c r="E43" s="232"/>
      <c r="F43" s="4"/>
      <c r="G43" s="3"/>
      <c r="H43" s="238"/>
      <c r="I43" s="232"/>
      <c r="J43" s="4"/>
      <c r="K43" s="3"/>
      <c r="L43" s="239"/>
      <c r="M43" s="235"/>
      <c r="N43" s="4"/>
      <c r="O43" s="3"/>
      <c r="P43" s="239"/>
      <c r="Q43" s="232"/>
      <c r="R43" s="4"/>
      <c r="S43" s="3"/>
      <c r="T43" s="239"/>
    </row>
    <row r="44" spans="2:21" ht="90" x14ac:dyDescent="0.25">
      <c r="B44" s="338"/>
      <c r="C44" s="219" t="s">
        <v>15</v>
      </c>
      <c r="D44" s="220" t="s">
        <v>75</v>
      </c>
      <c r="E44" s="232" t="s">
        <v>76</v>
      </c>
      <c r="F44" s="4">
        <v>1</v>
      </c>
      <c r="G44" s="3">
        <v>2000000</v>
      </c>
      <c r="H44" s="238">
        <v>2000000</v>
      </c>
      <c r="I44" s="232" t="s">
        <v>76</v>
      </c>
      <c r="J44" s="4">
        <v>1</v>
      </c>
      <c r="K44" s="3">
        <v>2000000</v>
      </c>
      <c r="L44" s="239">
        <v>2000000</v>
      </c>
      <c r="M44" s="235" t="s">
        <v>76</v>
      </c>
      <c r="N44" s="4">
        <v>1</v>
      </c>
      <c r="O44" s="3">
        <v>2000000</v>
      </c>
      <c r="P44" s="239">
        <v>2000000</v>
      </c>
      <c r="Q44" s="232" t="s">
        <v>76</v>
      </c>
      <c r="R44" s="4">
        <v>1</v>
      </c>
      <c r="S44" s="3">
        <v>2000000</v>
      </c>
      <c r="T44" s="239">
        <v>2000000</v>
      </c>
    </row>
    <row r="45" spans="2:21" ht="30" x14ac:dyDescent="0.25">
      <c r="B45" s="338"/>
      <c r="C45" s="230">
        <v>6</v>
      </c>
      <c r="D45" s="242" t="s">
        <v>77</v>
      </c>
      <c r="E45" s="232" t="s">
        <v>73</v>
      </c>
      <c r="F45" s="4">
        <v>1</v>
      </c>
      <c r="G45" s="3">
        <v>3773127.8000000003</v>
      </c>
      <c r="H45" s="238">
        <v>3773127.8000000003</v>
      </c>
      <c r="I45" s="232" t="s">
        <v>73</v>
      </c>
      <c r="J45" s="4">
        <v>1</v>
      </c>
      <c r="K45" s="3">
        <v>3773127.8000000003</v>
      </c>
      <c r="L45" s="239">
        <v>3773127.8000000003</v>
      </c>
      <c r="M45" s="235" t="s">
        <v>73</v>
      </c>
      <c r="N45" s="4">
        <v>1</v>
      </c>
      <c r="O45" s="3">
        <v>3773127.8000000003</v>
      </c>
      <c r="P45" s="239">
        <v>3773127.8000000003</v>
      </c>
      <c r="Q45" s="232" t="s">
        <v>73</v>
      </c>
      <c r="R45" s="4">
        <v>1</v>
      </c>
      <c r="S45" s="3">
        <v>3773127.8000000003</v>
      </c>
      <c r="T45" s="239">
        <v>3773127.8000000003</v>
      </c>
    </row>
    <row r="46" spans="2:21" ht="30" x14ac:dyDescent="0.25">
      <c r="B46" s="338"/>
      <c r="C46" s="219" t="s">
        <v>15</v>
      </c>
      <c r="D46" s="220" t="s">
        <v>78</v>
      </c>
      <c r="E46" s="225"/>
      <c r="F46" s="226"/>
      <c r="G46" s="95"/>
      <c r="H46" s="227"/>
      <c r="I46" s="225"/>
      <c r="J46" s="226"/>
      <c r="K46" s="95"/>
      <c r="L46" s="229"/>
      <c r="M46" s="228"/>
      <c r="N46" s="226"/>
      <c r="O46" s="95"/>
      <c r="P46" s="229"/>
      <c r="Q46" s="225"/>
      <c r="R46" s="226"/>
      <c r="S46" s="95"/>
      <c r="T46" s="229"/>
    </row>
    <row r="47" spans="2:21" ht="30" x14ac:dyDescent="0.25">
      <c r="B47" s="338"/>
      <c r="C47" s="219" t="s">
        <v>34</v>
      </c>
      <c r="D47" s="220" t="s">
        <v>79</v>
      </c>
      <c r="E47" s="225"/>
      <c r="F47" s="226"/>
      <c r="G47" s="95"/>
      <c r="H47" s="227"/>
      <c r="I47" s="225"/>
      <c r="J47" s="226"/>
      <c r="K47" s="95"/>
      <c r="L47" s="229"/>
      <c r="M47" s="228"/>
      <c r="N47" s="226"/>
      <c r="O47" s="95"/>
      <c r="P47" s="229"/>
      <c r="Q47" s="225"/>
      <c r="R47" s="226"/>
      <c r="S47" s="95"/>
      <c r="T47" s="229"/>
    </row>
    <row r="48" spans="2:21" ht="45" x14ac:dyDescent="0.25">
      <c r="B48" s="338"/>
      <c r="C48" s="219" t="s">
        <v>36</v>
      </c>
      <c r="D48" s="220" t="s">
        <v>80</v>
      </c>
      <c r="E48" s="225"/>
      <c r="F48" s="226"/>
      <c r="G48" s="95"/>
      <c r="H48" s="227"/>
      <c r="I48" s="225"/>
      <c r="J48" s="226"/>
      <c r="K48" s="95"/>
      <c r="L48" s="229"/>
      <c r="M48" s="228"/>
      <c r="N48" s="226"/>
      <c r="O48" s="95"/>
      <c r="P48" s="229"/>
      <c r="Q48" s="225"/>
      <c r="R48" s="226"/>
      <c r="S48" s="95"/>
      <c r="T48" s="229"/>
    </row>
    <row r="49" spans="2:21" ht="45" x14ac:dyDescent="0.25">
      <c r="B49" s="338"/>
      <c r="C49" s="219" t="s">
        <v>67</v>
      </c>
      <c r="D49" s="220" t="s">
        <v>81</v>
      </c>
      <c r="E49" s="225"/>
      <c r="F49" s="226"/>
      <c r="G49" s="95"/>
      <c r="H49" s="227"/>
      <c r="I49" s="225"/>
      <c r="J49" s="226"/>
      <c r="K49" s="95"/>
      <c r="L49" s="229"/>
      <c r="M49" s="228"/>
      <c r="N49" s="226"/>
      <c r="O49" s="95"/>
      <c r="P49" s="229"/>
      <c r="Q49" s="225"/>
      <c r="R49" s="226"/>
      <c r="S49" s="95"/>
      <c r="T49" s="229"/>
    </row>
    <row r="50" spans="2:21" ht="30" x14ac:dyDescent="0.25">
      <c r="B50" s="338"/>
      <c r="C50" s="219" t="s">
        <v>69</v>
      </c>
      <c r="D50" s="220" t="s">
        <v>82</v>
      </c>
      <c r="E50" s="225"/>
      <c r="F50" s="226"/>
      <c r="G50" s="95"/>
      <c r="H50" s="227"/>
      <c r="I50" s="225"/>
      <c r="J50" s="226"/>
      <c r="K50" s="95"/>
      <c r="L50" s="229"/>
      <c r="M50" s="228"/>
      <c r="N50" s="226"/>
      <c r="O50" s="95"/>
      <c r="P50" s="229"/>
      <c r="Q50" s="225"/>
      <c r="R50" s="226"/>
      <c r="S50" s="95"/>
      <c r="T50" s="229"/>
    </row>
    <row r="51" spans="2:21" ht="30" x14ac:dyDescent="0.25">
      <c r="B51" s="338"/>
      <c r="C51" s="219" t="s">
        <v>71</v>
      </c>
      <c r="D51" s="220" t="s">
        <v>83</v>
      </c>
      <c r="E51" s="225"/>
      <c r="F51" s="226"/>
      <c r="G51" s="95"/>
      <c r="H51" s="227"/>
      <c r="I51" s="225"/>
      <c r="J51" s="226"/>
      <c r="K51" s="95"/>
      <c r="L51" s="229"/>
      <c r="M51" s="228"/>
      <c r="N51" s="226"/>
      <c r="O51" s="95"/>
      <c r="P51" s="229"/>
      <c r="Q51" s="225"/>
      <c r="R51" s="226"/>
      <c r="S51" s="95"/>
      <c r="T51" s="229"/>
    </row>
    <row r="52" spans="2:21" ht="45" x14ac:dyDescent="0.25">
      <c r="B52" s="338"/>
      <c r="C52" s="219" t="s">
        <v>84</v>
      </c>
      <c r="D52" s="220" t="s">
        <v>85</v>
      </c>
      <c r="E52" s="225"/>
      <c r="F52" s="226"/>
      <c r="G52" s="95"/>
      <c r="H52" s="227"/>
      <c r="I52" s="225"/>
      <c r="J52" s="226"/>
      <c r="K52" s="95"/>
      <c r="L52" s="229"/>
      <c r="M52" s="228"/>
      <c r="N52" s="226"/>
      <c r="O52" s="95"/>
      <c r="P52" s="229"/>
      <c r="Q52" s="225"/>
      <c r="R52" s="226"/>
      <c r="S52" s="95"/>
      <c r="T52" s="229"/>
    </row>
    <row r="53" spans="2:21" ht="60" x14ac:dyDescent="0.25">
      <c r="B53" s="338"/>
      <c r="C53" s="219" t="s">
        <v>86</v>
      </c>
      <c r="D53" s="220" t="s">
        <v>87</v>
      </c>
      <c r="E53" s="225"/>
      <c r="F53" s="226"/>
      <c r="G53" s="95"/>
      <c r="H53" s="227"/>
      <c r="I53" s="249"/>
      <c r="J53" s="250"/>
      <c r="K53" s="251"/>
      <c r="L53" s="252"/>
      <c r="M53" s="228"/>
      <c r="N53" s="226"/>
      <c r="O53" s="95"/>
      <c r="P53" s="229"/>
      <c r="Q53" s="225"/>
      <c r="R53" s="226"/>
      <c r="S53" s="95"/>
      <c r="T53" s="229"/>
    </row>
    <row r="54" spans="2:21" ht="60" x14ac:dyDescent="0.25">
      <c r="B54" s="338"/>
      <c r="C54" s="219" t="s">
        <v>18</v>
      </c>
      <c r="D54" s="220" t="s">
        <v>88</v>
      </c>
      <c r="E54" s="225"/>
      <c r="F54" s="226"/>
      <c r="G54" s="95"/>
      <c r="H54" s="227"/>
      <c r="I54" s="225"/>
      <c r="J54" s="226"/>
      <c r="K54" s="95"/>
      <c r="L54" s="229"/>
      <c r="M54" s="228"/>
      <c r="N54" s="226"/>
      <c r="O54" s="95"/>
      <c r="P54" s="229"/>
      <c r="Q54" s="225"/>
      <c r="R54" s="226"/>
      <c r="S54" s="95"/>
      <c r="T54" s="229"/>
    </row>
    <row r="55" spans="2:21" ht="90" x14ac:dyDescent="0.25">
      <c r="B55" s="338"/>
      <c r="C55" s="219" t="s">
        <v>89</v>
      </c>
      <c r="D55" s="220" t="s">
        <v>90</v>
      </c>
      <c r="E55" s="225"/>
      <c r="F55" s="226"/>
      <c r="G55" s="95"/>
      <c r="H55" s="227"/>
      <c r="I55" s="225"/>
      <c r="J55" s="226"/>
      <c r="K55" s="95"/>
      <c r="L55" s="229"/>
      <c r="M55" s="228"/>
      <c r="N55" s="226"/>
      <c r="O55" s="95"/>
      <c r="P55" s="229"/>
      <c r="Q55" s="225"/>
      <c r="R55" s="226"/>
      <c r="S55" s="95"/>
      <c r="T55" s="229"/>
    </row>
    <row r="56" spans="2:21" ht="90" x14ac:dyDescent="0.25">
      <c r="B56" s="338"/>
      <c r="C56" s="219" t="s">
        <v>91</v>
      </c>
      <c r="D56" s="220" t="s">
        <v>92</v>
      </c>
      <c r="E56" s="225"/>
      <c r="F56" s="226"/>
      <c r="G56" s="95"/>
      <c r="H56" s="227"/>
      <c r="I56" s="225"/>
      <c r="J56" s="226"/>
      <c r="K56" s="95"/>
      <c r="L56" s="229"/>
      <c r="M56" s="228"/>
      <c r="N56" s="226"/>
      <c r="O56" s="95"/>
      <c r="P56" s="229"/>
      <c r="Q56" s="225"/>
      <c r="R56" s="226"/>
      <c r="S56" s="95"/>
      <c r="T56" s="229"/>
    </row>
    <row r="57" spans="2:21" x14ac:dyDescent="0.25">
      <c r="B57" s="338"/>
      <c r="C57" s="230">
        <v>7</v>
      </c>
      <c r="D57" s="242" t="s">
        <v>93</v>
      </c>
      <c r="E57" s="232"/>
      <c r="F57" s="4"/>
      <c r="G57" s="3"/>
      <c r="H57" s="238"/>
      <c r="I57" s="232"/>
      <c r="J57" s="4"/>
      <c r="K57" s="3"/>
      <c r="L57" s="239"/>
      <c r="M57" s="235"/>
      <c r="N57" s="4"/>
      <c r="O57" s="3"/>
      <c r="P57" s="239"/>
      <c r="Q57" s="232"/>
      <c r="R57" s="4"/>
      <c r="S57" s="3"/>
      <c r="T57" s="239"/>
    </row>
    <row r="58" spans="2:21" ht="75" x14ac:dyDescent="0.25">
      <c r="B58" s="338"/>
      <c r="C58" s="219" t="s">
        <v>15</v>
      </c>
      <c r="D58" s="220" t="s">
        <v>94</v>
      </c>
      <c r="E58" s="232"/>
      <c r="F58" s="4"/>
      <c r="G58" s="3"/>
      <c r="H58" s="238"/>
      <c r="I58" s="232"/>
      <c r="J58" s="4"/>
      <c r="K58" s="3"/>
      <c r="L58" s="239"/>
      <c r="M58" s="235"/>
      <c r="N58" s="4"/>
      <c r="O58" s="3"/>
      <c r="P58" s="239"/>
      <c r="Q58" s="232"/>
      <c r="R58" s="4"/>
      <c r="S58" s="3"/>
      <c r="T58" s="239"/>
    </row>
    <row r="59" spans="2:21" s="79" customFormat="1" ht="45" x14ac:dyDescent="0.25">
      <c r="B59" s="338"/>
      <c r="C59" s="10" t="s">
        <v>18</v>
      </c>
      <c r="D59" s="81" t="s">
        <v>95</v>
      </c>
      <c r="E59" s="9" t="s">
        <v>20</v>
      </c>
      <c r="F59" s="82">
        <v>2</v>
      </c>
      <c r="G59" s="83">
        <v>1288093.3999999999</v>
      </c>
      <c r="H59" s="84">
        <v>2576186.7999999998</v>
      </c>
      <c r="I59" s="85" t="s">
        <v>20</v>
      </c>
      <c r="J59" s="86">
        <v>2</v>
      </c>
      <c r="K59" s="87">
        <v>1288093.3999999999</v>
      </c>
      <c r="L59" s="88">
        <v>2576186.7999999998</v>
      </c>
      <c r="M59" s="80" t="s">
        <v>20</v>
      </c>
      <c r="N59" s="82">
        <v>2</v>
      </c>
      <c r="O59" s="83">
        <v>1288093.3999999999</v>
      </c>
      <c r="P59" s="89">
        <v>2576186.7999999998</v>
      </c>
      <c r="Q59" s="9" t="s">
        <v>20</v>
      </c>
      <c r="R59" s="82">
        <v>2</v>
      </c>
      <c r="S59" s="83">
        <v>1288093.3999999999</v>
      </c>
      <c r="T59" s="89">
        <v>2576186.7999999998</v>
      </c>
      <c r="U59" s="79" t="s">
        <v>200</v>
      </c>
    </row>
    <row r="60" spans="2:21" s="79" customFormat="1" ht="45" x14ac:dyDescent="0.25">
      <c r="B60" s="338"/>
      <c r="C60" s="10" t="s">
        <v>22</v>
      </c>
      <c r="D60" s="81" t="s">
        <v>96</v>
      </c>
      <c r="E60" s="9" t="s">
        <v>20</v>
      </c>
      <c r="F60" s="82">
        <v>3</v>
      </c>
      <c r="G60" s="83">
        <v>1288093.3999999999</v>
      </c>
      <c r="H60" s="84">
        <v>3864280.1999999997</v>
      </c>
      <c r="I60" s="9" t="s">
        <v>20</v>
      </c>
      <c r="J60" s="82">
        <v>3</v>
      </c>
      <c r="K60" s="87">
        <v>1288093.3999999999</v>
      </c>
      <c r="L60" s="89">
        <v>3864280.1999999997</v>
      </c>
      <c r="M60" s="80" t="s">
        <v>20</v>
      </c>
      <c r="N60" s="82">
        <v>3</v>
      </c>
      <c r="O60" s="83">
        <v>1288093.3999999999</v>
      </c>
      <c r="P60" s="89">
        <v>3864280.1999999997</v>
      </c>
      <c r="Q60" s="9" t="s">
        <v>20</v>
      </c>
      <c r="R60" s="82">
        <v>3</v>
      </c>
      <c r="S60" s="83">
        <v>1288093.3999999999</v>
      </c>
      <c r="T60" s="89">
        <v>3864280.1999999997</v>
      </c>
      <c r="U60" s="79" t="s">
        <v>200</v>
      </c>
    </row>
    <row r="61" spans="2:21" s="79" customFormat="1" ht="45" x14ac:dyDescent="0.25">
      <c r="B61" s="338"/>
      <c r="C61" s="10" t="s">
        <v>25</v>
      </c>
      <c r="D61" s="81" t="s">
        <v>97</v>
      </c>
      <c r="E61" s="9" t="s">
        <v>20</v>
      </c>
      <c r="F61" s="82">
        <v>1</v>
      </c>
      <c r="G61" s="83">
        <v>1288093.3999999999</v>
      </c>
      <c r="H61" s="84">
        <v>1288093.3999999999</v>
      </c>
      <c r="I61" s="9" t="s">
        <v>20</v>
      </c>
      <c r="J61" s="82">
        <v>1</v>
      </c>
      <c r="K61" s="87">
        <v>1288093.3999999999</v>
      </c>
      <c r="L61" s="89">
        <v>1288093.3999999999</v>
      </c>
      <c r="M61" s="80" t="s">
        <v>20</v>
      </c>
      <c r="N61" s="82">
        <v>1</v>
      </c>
      <c r="O61" s="83">
        <v>1288093.3999999999</v>
      </c>
      <c r="P61" s="89">
        <v>1288093.3999999999</v>
      </c>
      <c r="Q61" s="9" t="s">
        <v>20</v>
      </c>
      <c r="R61" s="82">
        <v>1</v>
      </c>
      <c r="S61" s="83">
        <v>1288093.3999999999</v>
      </c>
      <c r="T61" s="89">
        <v>1288093.3999999999</v>
      </c>
      <c r="U61" s="79" t="s">
        <v>200</v>
      </c>
    </row>
    <row r="62" spans="2:21" s="79" customFormat="1" ht="45" x14ac:dyDescent="0.25">
      <c r="B62" s="338"/>
      <c r="C62" s="10" t="s">
        <v>28</v>
      </c>
      <c r="D62" s="81" t="s">
        <v>98</v>
      </c>
      <c r="E62" s="9" t="s">
        <v>20</v>
      </c>
      <c r="F62" s="82">
        <v>1</v>
      </c>
      <c r="G62" s="83">
        <v>1288093.3999999999</v>
      </c>
      <c r="H62" s="84">
        <v>1288093.3999999999</v>
      </c>
      <c r="I62" s="9" t="s">
        <v>20</v>
      </c>
      <c r="J62" s="82">
        <v>1</v>
      </c>
      <c r="K62" s="87">
        <v>1288093.3999999999</v>
      </c>
      <c r="L62" s="89">
        <v>1288093.3999999999</v>
      </c>
      <c r="M62" s="80" t="s">
        <v>20</v>
      </c>
      <c r="N62" s="82">
        <v>1</v>
      </c>
      <c r="O62" s="83">
        <v>1288093.3999999999</v>
      </c>
      <c r="P62" s="89">
        <v>1288093.3999999999</v>
      </c>
      <c r="Q62" s="9" t="s">
        <v>20</v>
      </c>
      <c r="R62" s="82">
        <v>1</v>
      </c>
      <c r="S62" s="83">
        <v>1288093.3999999999</v>
      </c>
      <c r="T62" s="89">
        <v>1288093.3999999999</v>
      </c>
      <c r="U62" s="79" t="s">
        <v>200</v>
      </c>
    </row>
    <row r="63" spans="2:21" ht="180" x14ac:dyDescent="0.25">
      <c r="B63" s="338"/>
      <c r="C63" s="219" t="s">
        <v>29</v>
      </c>
      <c r="D63" s="220" t="s">
        <v>99</v>
      </c>
      <c r="E63" s="225" t="s">
        <v>20</v>
      </c>
      <c r="F63" s="226">
        <v>1</v>
      </c>
      <c r="G63" s="95">
        <v>8284407</v>
      </c>
      <c r="H63" s="227">
        <v>8284407</v>
      </c>
      <c r="I63" s="225" t="s">
        <v>20</v>
      </c>
      <c r="J63" s="226">
        <v>1</v>
      </c>
      <c r="K63" s="95">
        <v>8284407</v>
      </c>
      <c r="L63" s="229">
        <v>8284407</v>
      </c>
      <c r="M63" s="228" t="s">
        <v>20</v>
      </c>
      <c r="N63" s="226">
        <v>1</v>
      </c>
      <c r="O63" s="95">
        <v>8284407</v>
      </c>
      <c r="P63" s="229">
        <v>8284407</v>
      </c>
      <c r="Q63" s="225" t="s">
        <v>20</v>
      </c>
      <c r="R63" s="226">
        <v>1</v>
      </c>
      <c r="S63" s="95">
        <v>8284407</v>
      </c>
      <c r="T63" s="229">
        <v>8284407</v>
      </c>
      <c r="U63" s="90" t="s">
        <v>218</v>
      </c>
    </row>
    <row r="64" spans="2:21" ht="30" x14ac:dyDescent="0.25">
      <c r="B64" s="338"/>
      <c r="C64" s="219" t="s">
        <v>34</v>
      </c>
      <c r="D64" s="242" t="s">
        <v>100</v>
      </c>
      <c r="E64" s="232" t="s">
        <v>76</v>
      </c>
      <c r="F64" s="4">
        <v>1</v>
      </c>
      <c r="G64" s="95">
        <v>1354545</v>
      </c>
      <c r="H64" s="227">
        <v>1354545</v>
      </c>
      <c r="I64" s="232" t="s">
        <v>76</v>
      </c>
      <c r="J64" s="4">
        <v>1</v>
      </c>
      <c r="K64" s="95">
        <v>1354545</v>
      </c>
      <c r="L64" s="229">
        <v>1354545</v>
      </c>
      <c r="M64" s="235" t="s">
        <v>76</v>
      </c>
      <c r="N64" s="4">
        <v>1</v>
      </c>
      <c r="O64" s="95">
        <v>1354545</v>
      </c>
      <c r="P64" s="229">
        <v>1354545</v>
      </c>
      <c r="Q64" s="232" t="s">
        <v>76</v>
      </c>
      <c r="R64" s="4">
        <v>1</v>
      </c>
      <c r="S64" s="95">
        <v>1354545</v>
      </c>
      <c r="T64" s="229">
        <v>1354545</v>
      </c>
      <c r="U64" s="90" t="s">
        <v>174</v>
      </c>
    </row>
    <row r="65" spans="2:21" ht="60" x14ac:dyDescent="0.25">
      <c r="B65" s="338"/>
      <c r="C65" s="230">
        <v>8</v>
      </c>
      <c r="D65" s="242" t="s">
        <v>101</v>
      </c>
      <c r="E65" s="232" t="s">
        <v>102</v>
      </c>
      <c r="F65" s="4">
        <v>1</v>
      </c>
      <c r="G65" s="95">
        <v>75000</v>
      </c>
      <c r="H65" s="238">
        <v>75000</v>
      </c>
      <c r="I65" s="232" t="s">
        <v>102</v>
      </c>
      <c r="J65" s="4">
        <v>1</v>
      </c>
      <c r="K65" s="95">
        <v>75000</v>
      </c>
      <c r="L65" s="239">
        <v>75000</v>
      </c>
      <c r="M65" s="235" t="s">
        <v>102</v>
      </c>
      <c r="N65" s="4">
        <v>1</v>
      </c>
      <c r="O65" s="95">
        <v>75000</v>
      </c>
      <c r="P65" s="239">
        <v>75000</v>
      </c>
      <c r="Q65" s="232" t="s">
        <v>102</v>
      </c>
      <c r="R65" s="4">
        <v>1</v>
      </c>
      <c r="S65" s="95">
        <v>75000</v>
      </c>
      <c r="T65" s="239">
        <v>75000</v>
      </c>
    </row>
    <row r="66" spans="2:21" x14ac:dyDescent="0.25">
      <c r="B66" s="338"/>
      <c r="C66" s="230">
        <v>9</v>
      </c>
      <c r="D66" s="242" t="s">
        <v>103</v>
      </c>
      <c r="E66" s="232"/>
      <c r="F66" s="4"/>
      <c r="G66" s="3"/>
      <c r="H66" s="238"/>
      <c r="I66" s="232"/>
      <c r="J66" s="4"/>
      <c r="K66" s="3"/>
      <c r="L66" s="239"/>
      <c r="M66" s="235"/>
      <c r="N66" s="4"/>
      <c r="O66" s="3"/>
      <c r="P66" s="239"/>
      <c r="Q66" s="232"/>
      <c r="R66" s="4"/>
      <c r="S66" s="3"/>
      <c r="T66" s="239"/>
    </row>
    <row r="67" spans="2:21" x14ac:dyDescent="0.25">
      <c r="B67" s="338"/>
      <c r="C67" s="236">
        <v>9.1</v>
      </c>
      <c r="D67" s="242" t="s">
        <v>104</v>
      </c>
      <c r="E67" s="232" t="s">
        <v>105</v>
      </c>
      <c r="F67" s="4">
        <v>70</v>
      </c>
      <c r="G67" s="95">
        <v>65000</v>
      </c>
      <c r="H67" s="238">
        <v>4550000</v>
      </c>
      <c r="I67" s="232" t="s">
        <v>105</v>
      </c>
      <c r="J67" s="4">
        <v>70</v>
      </c>
      <c r="K67" s="95">
        <v>65000</v>
      </c>
      <c r="L67" s="239">
        <v>4550000</v>
      </c>
      <c r="M67" s="235" t="s">
        <v>105</v>
      </c>
      <c r="N67" s="4">
        <v>70</v>
      </c>
      <c r="O67" s="95">
        <v>65000</v>
      </c>
      <c r="P67" s="239">
        <v>4550000</v>
      </c>
      <c r="Q67" s="232" t="s">
        <v>105</v>
      </c>
      <c r="R67" s="4">
        <v>70</v>
      </c>
      <c r="S67" s="95">
        <v>65000</v>
      </c>
      <c r="T67" s="239">
        <v>4550000</v>
      </c>
      <c r="U67" s="90" t="s">
        <v>203</v>
      </c>
    </row>
    <row r="68" spans="2:21" x14ac:dyDescent="0.25">
      <c r="B68" s="338"/>
      <c r="C68" s="236">
        <v>9.1999999999999993</v>
      </c>
      <c r="D68" s="242" t="s">
        <v>106</v>
      </c>
      <c r="E68" s="232" t="s">
        <v>105</v>
      </c>
      <c r="F68" s="4">
        <v>15</v>
      </c>
      <c r="G68" s="95">
        <v>65000</v>
      </c>
      <c r="H68" s="238">
        <v>975000</v>
      </c>
      <c r="I68" s="232" t="s">
        <v>105</v>
      </c>
      <c r="J68" s="4">
        <v>15</v>
      </c>
      <c r="K68" s="95">
        <v>65000</v>
      </c>
      <c r="L68" s="239">
        <v>975000</v>
      </c>
      <c r="M68" s="235" t="s">
        <v>105</v>
      </c>
      <c r="N68" s="4">
        <v>15</v>
      </c>
      <c r="O68" s="95">
        <v>65000</v>
      </c>
      <c r="P68" s="239">
        <v>975000</v>
      </c>
      <c r="Q68" s="232" t="s">
        <v>105</v>
      </c>
      <c r="R68" s="4">
        <v>15</v>
      </c>
      <c r="S68" s="95">
        <v>65000</v>
      </c>
      <c r="T68" s="239">
        <v>975000</v>
      </c>
      <c r="U68" s="90" t="s">
        <v>203</v>
      </c>
    </row>
    <row r="69" spans="2:21" ht="60" x14ac:dyDescent="0.25">
      <c r="B69" s="338"/>
      <c r="C69" s="230">
        <v>10</v>
      </c>
      <c r="D69" s="220" t="s">
        <v>107</v>
      </c>
      <c r="E69" s="225" t="s">
        <v>108</v>
      </c>
      <c r="F69" s="226">
        <v>3</v>
      </c>
      <c r="G69" s="95">
        <v>28098</v>
      </c>
      <c r="H69" s="227">
        <v>84294</v>
      </c>
      <c r="I69" s="225" t="s">
        <v>108</v>
      </c>
      <c r="J69" s="226">
        <v>3</v>
      </c>
      <c r="K69" s="95">
        <v>28098</v>
      </c>
      <c r="L69" s="229">
        <v>84294</v>
      </c>
      <c r="M69" s="228" t="s">
        <v>108</v>
      </c>
      <c r="N69" s="226">
        <v>3</v>
      </c>
      <c r="O69" s="95">
        <v>28098</v>
      </c>
      <c r="P69" s="229">
        <v>84294</v>
      </c>
      <c r="Q69" s="225" t="s">
        <v>108</v>
      </c>
      <c r="R69" s="226">
        <v>3</v>
      </c>
      <c r="S69" s="95">
        <v>28098</v>
      </c>
      <c r="T69" s="229">
        <v>84294</v>
      </c>
      <c r="U69" s="90" t="s">
        <v>219</v>
      </c>
    </row>
    <row r="70" spans="2:21" x14ac:dyDescent="0.25">
      <c r="B70" s="338"/>
      <c r="C70" s="230">
        <v>11</v>
      </c>
      <c r="D70" s="242" t="s">
        <v>109</v>
      </c>
      <c r="E70" s="232"/>
      <c r="F70" s="4"/>
      <c r="G70" s="3"/>
      <c r="H70" s="238"/>
      <c r="I70" s="232"/>
      <c r="J70" s="4"/>
      <c r="K70" s="3"/>
      <c r="L70" s="239"/>
      <c r="M70" s="235"/>
      <c r="N70" s="4"/>
      <c r="O70" s="3"/>
      <c r="P70" s="239"/>
      <c r="Q70" s="232"/>
      <c r="R70" s="4"/>
      <c r="S70" s="3"/>
      <c r="T70" s="239"/>
    </row>
    <row r="71" spans="2:21" ht="75" x14ac:dyDescent="0.25">
      <c r="B71" s="338"/>
      <c r="C71" s="236">
        <v>11.1</v>
      </c>
      <c r="D71" s="220" t="s">
        <v>110</v>
      </c>
      <c r="E71" s="232"/>
      <c r="F71" s="4"/>
      <c r="G71" s="3"/>
      <c r="H71" s="238"/>
      <c r="I71" s="232"/>
      <c r="J71" s="4"/>
      <c r="K71" s="3"/>
      <c r="L71" s="239"/>
      <c r="M71" s="235"/>
      <c r="N71" s="4"/>
      <c r="O71" s="3"/>
      <c r="P71" s="239"/>
      <c r="Q71" s="232"/>
      <c r="R71" s="4"/>
      <c r="S71" s="3"/>
      <c r="T71" s="239"/>
    </row>
    <row r="72" spans="2:21" x14ac:dyDescent="0.25">
      <c r="B72" s="338"/>
      <c r="C72" s="219" t="s">
        <v>15</v>
      </c>
      <c r="D72" s="220" t="s">
        <v>111</v>
      </c>
      <c r="E72" s="225" t="s">
        <v>112</v>
      </c>
      <c r="F72" s="226">
        <v>300</v>
      </c>
      <c r="G72" s="95">
        <v>544.5</v>
      </c>
      <c r="H72" s="227">
        <v>163350</v>
      </c>
      <c r="I72" s="225" t="s">
        <v>112</v>
      </c>
      <c r="J72" s="226">
        <v>300</v>
      </c>
      <c r="K72" s="95">
        <v>544.5</v>
      </c>
      <c r="L72" s="229">
        <v>163350</v>
      </c>
      <c r="M72" s="228" t="s">
        <v>112</v>
      </c>
      <c r="N72" s="226">
        <v>300</v>
      </c>
      <c r="O72" s="95">
        <v>544.5</v>
      </c>
      <c r="P72" s="229">
        <v>163350</v>
      </c>
      <c r="Q72" s="225" t="s">
        <v>112</v>
      </c>
      <c r="R72" s="226">
        <v>300</v>
      </c>
      <c r="S72" s="95">
        <v>544.5</v>
      </c>
      <c r="T72" s="229">
        <v>163350</v>
      </c>
      <c r="U72" s="90" t="s">
        <v>174</v>
      </c>
    </row>
    <row r="73" spans="2:21" x14ac:dyDescent="0.25">
      <c r="B73" s="338"/>
      <c r="C73" s="219" t="s">
        <v>34</v>
      </c>
      <c r="D73" s="220" t="s">
        <v>113</v>
      </c>
      <c r="E73" s="225" t="s">
        <v>112</v>
      </c>
      <c r="F73" s="226">
        <v>500</v>
      </c>
      <c r="G73" s="95">
        <v>441</v>
      </c>
      <c r="H73" s="227">
        <v>220500</v>
      </c>
      <c r="I73" s="225" t="s">
        <v>112</v>
      </c>
      <c r="J73" s="226">
        <v>500</v>
      </c>
      <c r="K73" s="95">
        <v>441</v>
      </c>
      <c r="L73" s="229">
        <v>220500</v>
      </c>
      <c r="M73" s="228" t="s">
        <v>112</v>
      </c>
      <c r="N73" s="226">
        <v>500</v>
      </c>
      <c r="O73" s="95">
        <v>441</v>
      </c>
      <c r="P73" s="229">
        <v>220500</v>
      </c>
      <c r="Q73" s="225" t="s">
        <v>112</v>
      </c>
      <c r="R73" s="226">
        <v>500</v>
      </c>
      <c r="S73" s="95">
        <v>441</v>
      </c>
      <c r="T73" s="229">
        <v>220500</v>
      </c>
      <c r="U73" s="90" t="s">
        <v>174</v>
      </c>
    </row>
    <row r="74" spans="2:21" ht="105" x14ac:dyDescent="0.25">
      <c r="B74" s="338"/>
      <c r="C74" s="236">
        <v>11.2</v>
      </c>
      <c r="D74" s="220" t="s">
        <v>114</v>
      </c>
      <c r="E74" s="232"/>
      <c r="F74" s="4"/>
      <c r="G74" s="3"/>
      <c r="H74" s="238"/>
      <c r="I74" s="232"/>
      <c r="J74" s="4"/>
      <c r="K74" s="3"/>
      <c r="L74" s="239"/>
      <c r="M74" s="235"/>
      <c r="N74" s="4"/>
      <c r="O74" s="3"/>
      <c r="P74" s="239"/>
      <c r="Q74" s="232"/>
      <c r="R74" s="4"/>
      <c r="S74" s="3"/>
      <c r="T74" s="239"/>
    </row>
    <row r="75" spans="2:21" x14ac:dyDescent="0.25">
      <c r="B75" s="338"/>
      <c r="C75" s="219" t="s">
        <v>15</v>
      </c>
      <c r="D75" s="220" t="s">
        <v>115</v>
      </c>
      <c r="E75" s="225" t="s">
        <v>112</v>
      </c>
      <c r="F75" s="226">
        <v>120</v>
      </c>
      <c r="G75" s="95">
        <v>342.9</v>
      </c>
      <c r="H75" s="227">
        <v>41148</v>
      </c>
      <c r="I75" s="225" t="s">
        <v>112</v>
      </c>
      <c r="J75" s="226">
        <v>120</v>
      </c>
      <c r="K75" s="95">
        <v>342.9</v>
      </c>
      <c r="L75" s="229">
        <v>41148</v>
      </c>
      <c r="M75" s="228" t="s">
        <v>112</v>
      </c>
      <c r="N75" s="226">
        <v>120</v>
      </c>
      <c r="O75" s="95">
        <v>342.9</v>
      </c>
      <c r="P75" s="229">
        <v>41148</v>
      </c>
      <c r="Q75" s="225" t="s">
        <v>112</v>
      </c>
      <c r="R75" s="226">
        <v>120</v>
      </c>
      <c r="S75" s="95">
        <v>342.9</v>
      </c>
      <c r="T75" s="229">
        <v>41148</v>
      </c>
      <c r="U75" s="90" t="s">
        <v>174</v>
      </c>
    </row>
    <row r="76" spans="2:21" x14ac:dyDescent="0.25">
      <c r="B76" s="338"/>
      <c r="C76" s="236">
        <v>11.3</v>
      </c>
      <c r="D76" s="220" t="s">
        <v>116</v>
      </c>
      <c r="E76" s="232"/>
      <c r="F76" s="4"/>
      <c r="G76" s="3"/>
      <c r="H76" s="238"/>
      <c r="I76" s="232"/>
      <c r="J76" s="4"/>
      <c r="K76" s="3"/>
      <c r="L76" s="239"/>
      <c r="M76" s="235"/>
      <c r="N76" s="4"/>
      <c r="O76" s="3"/>
      <c r="P76" s="239"/>
      <c r="Q76" s="232"/>
      <c r="R76" s="4"/>
      <c r="S76" s="3"/>
      <c r="T76" s="239"/>
    </row>
    <row r="77" spans="2:21" x14ac:dyDescent="0.25">
      <c r="B77" s="338"/>
      <c r="C77" s="219" t="s">
        <v>15</v>
      </c>
      <c r="D77" s="220" t="s">
        <v>117</v>
      </c>
      <c r="E77" s="225" t="s">
        <v>112</v>
      </c>
      <c r="F77" s="226">
        <v>80</v>
      </c>
      <c r="G77" s="95">
        <v>1200</v>
      </c>
      <c r="H77" s="227">
        <v>96000</v>
      </c>
      <c r="I77" s="225" t="s">
        <v>112</v>
      </c>
      <c r="J77" s="226">
        <v>80</v>
      </c>
      <c r="K77" s="95">
        <v>1200</v>
      </c>
      <c r="L77" s="229">
        <v>96000</v>
      </c>
      <c r="M77" s="228" t="s">
        <v>112</v>
      </c>
      <c r="N77" s="226">
        <v>80</v>
      </c>
      <c r="O77" s="95">
        <v>1200</v>
      </c>
      <c r="P77" s="229">
        <v>96000</v>
      </c>
      <c r="Q77" s="225" t="s">
        <v>112</v>
      </c>
      <c r="R77" s="226">
        <v>80</v>
      </c>
      <c r="S77" s="95">
        <v>1200</v>
      </c>
      <c r="T77" s="229">
        <v>96000</v>
      </c>
      <c r="U77" s="90" t="s">
        <v>174</v>
      </c>
    </row>
    <row r="78" spans="2:21" x14ac:dyDescent="0.25">
      <c r="B78" s="338"/>
      <c r="C78" s="219" t="s">
        <v>34</v>
      </c>
      <c r="D78" s="220" t="s">
        <v>118</v>
      </c>
      <c r="E78" s="225" t="s">
        <v>112</v>
      </c>
      <c r="F78" s="226">
        <v>50</v>
      </c>
      <c r="G78" s="95">
        <v>870</v>
      </c>
      <c r="H78" s="227">
        <v>43500</v>
      </c>
      <c r="I78" s="225" t="s">
        <v>112</v>
      </c>
      <c r="J78" s="226">
        <v>50</v>
      </c>
      <c r="K78" s="95">
        <v>870</v>
      </c>
      <c r="L78" s="229">
        <v>43500</v>
      </c>
      <c r="M78" s="228" t="s">
        <v>112</v>
      </c>
      <c r="N78" s="226">
        <v>50</v>
      </c>
      <c r="O78" s="95">
        <v>870</v>
      </c>
      <c r="P78" s="229">
        <v>43500</v>
      </c>
      <c r="Q78" s="225" t="s">
        <v>112</v>
      </c>
      <c r="R78" s="226">
        <v>50</v>
      </c>
      <c r="S78" s="95">
        <v>870</v>
      </c>
      <c r="T78" s="229">
        <v>43500</v>
      </c>
      <c r="U78" s="90" t="s">
        <v>174</v>
      </c>
    </row>
    <row r="79" spans="2:21" x14ac:dyDescent="0.25">
      <c r="B79" s="338"/>
      <c r="C79" s="230">
        <v>12</v>
      </c>
      <c r="D79" s="242" t="s">
        <v>119</v>
      </c>
      <c r="E79" s="232"/>
      <c r="F79" s="4"/>
      <c r="G79" s="3"/>
      <c r="H79" s="238"/>
      <c r="I79" s="232"/>
      <c r="J79" s="4"/>
      <c r="K79" s="3"/>
      <c r="L79" s="239"/>
      <c r="M79" s="235"/>
      <c r="N79" s="4"/>
      <c r="O79" s="3"/>
      <c r="P79" s="239"/>
      <c r="Q79" s="232"/>
      <c r="R79" s="4"/>
      <c r="S79" s="3"/>
      <c r="T79" s="239"/>
    </row>
    <row r="80" spans="2:21" ht="60" x14ac:dyDescent="0.25">
      <c r="B80" s="338"/>
      <c r="C80" s="219" t="s">
        <v>15</v>
      </c>
      <c r="D80" s="220" t="s">
        <v>120</v>
      </c>
      <c r="E80" s="225" t="s">
        <v>47</v>
      </c>
      <c r="F80" s="226">
        <v>1</v>
      </c>
      <c r="G80" s="95">
        <v>112200</v>
      </c>
      <c r="H80" s="227">
        <v>112200</v>
      </c>
      <c r="I80" s="225" t="s">
        <v>47</v>
      </c>
      <c r="J80" s="226">
        <v>1</v>
      </c>
      <c r="K80" s="95">
        <v>112200</v>
      </c>
      <c r="L80" s="229">
        <v>112200</v>
      </c>
      <c r="M80" s="228" t="s">
        <v>47</v>
      </c>
      <c r="N80" s="226">
        <v>1</v>
      </c>
      <c r="O80" s="95">
        <v>112200</v>
      </c>
      <c r="P80" s="229">
        <v>112200</v>
      </c>
      <c r="Q80" s="225" t="s">
        <v>47</v>
      </c>
      <c r="R80" s="226">
        <v>1</v>
      </c>
      <c r="S80" s="95">
        <v>112200</v>
      </c>
      <c r="T80" s="229">
        <v>112200</v>
      </c>
    </row>
    <row r="81" spans="2:21" x14ac:dyDescent="0.25">
      <c r="B81" s="338"/>
      <c r="C81" s="230">
        <v>13</v>
      </c>
      <c r="D81" s="242" t="s">
        <v>121</v>
      </c>
      <c r="E81" s="232"/>
      <c r="F81" s="4"/>
      <c r="G81" s="3"/>
      <c r="H81" s="238"/>
      <c r="I81" s="232"/>
      <c r="J81" s="4"/>
      <c r="K81" s="3"/>
      <c r="L81" s="239"/>
      <c r="M81" s="235"/>
      <c r="N81" s="4"/>
      <c r="O81" s="3"/>
      <c r="P81" s="239"/>
      <c r="Q81" s="232"/>
      <c r="R81" s="4"/>
      <c r="S81" s="3"/>
      <c r="T81" s="239"/>
    </row>
    <row r="82" spans="2:21" ht="60" x14ac:dyDescent="0.25">
      <c r="B82" s="338"/>
      <c r="C82" s="236">
        <v>13.1</v>
      </c>
      <c r="D82" s="220" t="s">
        <v>122</v>
      </c>
      <c r="E82" s="225" t="s">
        <v>47</v>
      </c>
      <c r="F82" s="226">
        <v>1</v>
      </c>
      <c r="G82" s="95">
        <v>1363863.6</v>
      </c>
      <c r="H82" s="227">
        <v>1363863.6</v>
      </c>
      <c r="I82" s="225" t="s">
        <v>47</v>
      </c>
      <c r="J82" s="226">
        <v>1</v>
      </c>
      <c r="K82" s="95">
        <v>1363863.6</v>
      </c>
      <c r="L82" s="229">
        <v>1363863.6</v>
      </c>
      <c r="M82" s="228" t="s">
        <v>47</v>
      </c>
      <c r="N82" s="226">
        <v>1</v>
      </c>
      <c r="O82" s="95">
        <v>1363863.6</v>
      </c>
      <c r="P82" s="229">
        <v>1363863.6</v>
      </c>
      <c r="Q82" s="225" t="s">
        <v>47</v>
      </c>
      <c r="R82" s="226">
        <v>1</v>
      </c>
      <c r="S82" s="95">
        <v>1363863.6</v>
      </c>
      <c r="T82" s="229">
        <v>1363863.6</v>
      </c>
      <c r="U82" s="90" t="s">
        <v>220</v>
      </c>
    </row>
    <row r="83" spans="2:21" ht="30" x14ac:dyDescent="0.25">
      <c r="B83" s="338"/>
      <c r="C83" s="248"/>
      <c r="D83" s="220" t="s">
        <v>123</v>
      </c>
      <c r="E83" s="225" t="s">
        <v>47</v>
      </c>
      <c r="F83" s="226">
        <v>1</v>
      </c>
      <c r="G83" s="95">
        <v>1363863.6</v>
      </c>
      <c r="H83" s="227">
        <v>1363863.6</v>
      </c>
      <c r="I83" s="225" t="s">
        <v>47</v>
      </c>
      <c r="J83" s="226">
        <v>1</v>
      </c>
      <c r="K83" s="95">
        <v>1363863.6</v>
      </c>
      <c r="L83" s="229">
        <v>1363863.6</v>
      </c>
      <c r="M83" s="228" t="s">
        <v>47</v>
      </c>
      <c r="N83" s="226">
        <v>1</v>
      </c>
      <c r="O83" s="95">
        <v>1363863.6</v>
      </c>
      <c r="P83" s="229">
        <v>1363863.6</v>
      </c>
      <c r="Q83" s="225" t="s">
        <v>47</v>
      </c>
      <c r="R83" s="226">
        <v>1</v>
      </c>
      <c r="S83" s="95">
        <v>1363863.6</v>
      </c>
      <c r="T83" s="229">
        <v>1363863.6</v>
      </c>
      <c r="U83" s="90" t="s">
        <v>221</v>
      </c>
    </row>
    <row r="84" spans="2:21" ht="30" x14ac:dyDescent="0.25">
      <c r="B84" s="338"/>
      <c r="C84" s="230">
        <v>14</v>
      </c>
      <c r="D84" s="240" t="s">
        <v>124</v>
      </c>
      <c r="E84" s="232"/>
      <c r="F84" s="4"/>
      <c r="G84" s="3"/>
      <c r="H84" s="238"/>
      <c r="I84" s="232"/>
      <c r="J84" s="4"/>
      <c r="K84" s="3"/>
      <c r="L84" s="239"/>
      <c r="M84" s="235"/>
      <c r="N84" s="4"/>
      <c r="O84" s="3"/>
      <c r="P84" s="239"/>
      <c r="Q84" s="232"/>
      <c r="R84" s="4"/>
      <c r="S84" s="3"/>
      <c r="T84" s="239"/>
    </row>
    <row r="85" spans="2:21" ht="45" x14ac:dyDescent="0.25">
      <c r="B85" s="338"/>
      <c r="C85" s="336" t="s">
        <v>15</v>
      </c>
      <c r="D85" s="220" t="s">
        <v>125</v>
      </c>
      <c r="E85" s="325" t="s">
        <v>47</v>
      </c>
      <c r="F85" s="327">
        <v>1</v>
      </c>
      <c r="G85" s="311">
        <v>41810</v>
      </c>
      <c r="H85" s="334">
        <v>41810</v>
      </c>
      <c r="I85" s="325" t="s">
        <v>47</v>
      </c>
      <c r="J85" s="327">
        <v>1</v>
      </c>
      <c r="K85" s="311">
        <v>41810</v>
      </c>
      <c r="L85" s="331">
        <v>41810</v>
      </c>
      <c r="M85" s="326" t="s">
        <v>47</v>
      </c>
      <c r="N85" s="327">
        <v>1</v>
      </c>
      <c r="O85" s="311">
        <v>41810</v>
      </c>
      <c r="P85" s="331">
        <v>41810</v>
      </c>
      <c r="Q85" s="325" t="s">
        <v>47</v>
      </c>
      <c r="R85" s="327">
        <v>1</v>
      </c>
      <c r="S85" s="311">
        <v>41810</v>
      </c>
      <c r="T85" s="331">
        <v>41810</v>
      </c>
    </row>
    <row r="86" spans="2:21" ht="45" x14ac:dyDescent="0.25">
      <c r="B86" s="338"/>
      <c r="C86" s="336"/>
      <c r="D86" s="220" t="s">
        <v>126</v>
      </c>
      <c r="E86" s="325"/>
      <c r="F86" s="327"/>
      <c r="G86" s="311"/>
      <c r="H86" s="334"/>
      <c r="I86" s="325"/>
      <c r="J86" s="327"/>
      <c r="K86" s="311"/>
      <c r="L86" s="331"/>
      <c r="M86" s="326"/>
      <c r="N86" s="327"/>
      <c r="O86" s="311"/>
      <c r="P86" s="331"/>
      <c r="Q86" s="325"/>
      <c r="R86" s="327"/>
      <c r="S86" s="311"/>
      <c r="T86" s="331"/>
    </row>
    <row r="87" spans="2:21" x14ac:dyDescent="0.25">
      <c r="B87" s="338"/>
      <c r="C87" s="230">
        <v>15</v>
      </c>
      <c r="D87" s="242" t="s">
        <v>127</v>
      </c>
      <c r="E87" s="232" t="s">
        <v>50</v>
      </c>
      <c r="F87" s="4">
        <v>1</v>
      </c>
      <c r="G87" s="3">
        <v>625000</v>
      </c>
      <c r="H87" s="238">
        <v>625000</v>
      </c>
      <c r="I87" s="232" t="s">
        <v>50</v>
      </c>
      <c r="J87" s="4">
        <v>1</v>
      </c>
      <c r="K87" s="3">
        <v>625000</v>
      </c>
      <c r="L87" s="239">
        <v>625000</v>
      </c>
      <c r="M87" s="235" t="s">
        <v>50</v>
      </c>
      <c r="N87" s="4">
        <v>1</v>
      </c>
      <c r="O87" s="3">
        <v>625000</v>
      </c>
      <c r="P87" s="239">
        <v>625000</v>
      </c>
      <c r="Q87" s="232" t="s">
        <v>50</v>
      </c>
      <c r="R87" s="4">
        <v>1</v>
      </c>
      <c r="S87" s="3">
        <v>625000</v>
      </c>
      <c r="T87" s="239">
        <v>625000</v>
      </c>
    </row>
    <row r="88" spans="2:21" x14ac:dyDescent="0.25">
      <c r="B88" s="338"/>
      <c r="C88" s="230">
        <v>16</v>
      </c>
      <c r="D88" s="242" t="s">
        <v>128</v>
      </c>
      <c r="E88" s="232" t="s">
        <v>129</v>
      </c>
      <c r="F88" s="4">
        <v>1</v>
      </c>
      <c r="G88" s="3">
        <v>200000</v>
      </c>
      <c r="H88" s="253">
        <v>200000</v>
      </c>
      <c r="I88" s="232" t="s">
        <v>129</v>
      </c>
      <c r="J88" s="4">
        <v>1</v>
      </c>
      <c r="K88" s="3">
        <v>200000</v>
      </c>
      <c r="L88" s="254">
        <v>200000</v>
      </c>
      <c r="M88" s="235" t="s">
        <v>129</v>
      </c>
      <c r="N88" s="4">
        <v>1</v>
      </c>
      <c r="O88" s="3">
        <v>200000</v>
      </c>
      <c r="P88" s="254">
        <v>200000</v>
      </c>
      <c r="Q88" s="232" t="s">
        <v>129</v>
      </c>
      <c r="R88" s="4">
        <v>1</v>
      </c>
      <c r="S88" s="3">
        <v>200000</v>
      </c>
      <c r="T88" s="254">
        <v>200000</v>
      </c>
    </row>
    <row r="89" spans="2:21" ht="15.75" x14ac:dyDescent="0.25">
      <c r="B89" s="338"/>
      <c r="C89" s="255"/>
      <c r="D89" s="256" t="s">
        <v>130</v>
      </c>
      <c r="E89" s="257"/>
      <c r="F89" s="6"/>
      <c r="G89" s="3"/>
      <c r="H89" s="74">
        <v>208428282.74740002</v>
      </c>
      <c r="I89" s="257"/>
      <c r="J89" s="6"/>
      <c r="K89" s="3"/>
      <c r="L89" s="69">
        <v>304601286.42369998</v>
      </c>
      <c r="M89" s="258"/>
      <c r="N89" s="6"/>
      <c r="O89" s="3"/>
      <c r="P89" s="69">
        <v>347685522.74170005</v>
      </c>
      <c r="Q89" s="257"/>
      <c r="R89" s="6"/>
      <c r="S89" s="3"/>
      <c r="T89" s="69">
        <v>293755446.75520003</v>
      </c>
    </row>
    <row r="90" spans="2:21" x14ac:dyDescent="0.25">
      <c r="B90" s="339"/>
      <c r="C90" s="255"/>
      <c r="D90" s="242"/>
      <c r="E90" s="259"/>
      <c r="F90" s="7"/>
      <c r="G90" s="3"/>
      <c r="H90" s="75"/>
      <c r="I90" s="259"/>
      <c r="J90" s="7"/>
      <c r="K90" s="3"/>
      <c r="L90" s="70"/>
      <c r="M90" s="260"/>
      <c r="N90" s="7"/>
      <c r="O90" s="3"/>
      <c r="P90" s="70"/>
      <c r="Q90" s="259"/>
      <c r="R90" s="7"/>
      <c r="S90" s="3"/>
      <c r="T90" s="70"/>
    </row>
    <row r="91" spans="2:21" x14ac:dyDescent="0.25">
      <c r="B91" s="248"/>
      <c r="C91" s="248">
        <v>18.100000000000001</v>
      </c>
      <c r="D91" s="220" t="s">
        <v>131</v>
      </c>
      <c r="E91" s="221"/>
      <c r="F91" s="24"/>
      <c r="G91" s="261"/>
      <c r="H91" s="222"/>
      <c r="I91" s="221"/>
      <c r="J91" s="24"/>
      <c r="K91" s="261"/>
      <c r="L91" s="223"/>
      <c r="M91" s="235"/>
      <c r="N91" s="24"/>
      <c r="O91" s="24"/>
      <c r="P91" s="223"/>
      <c r="Q91" s="232"/>
      <c r="R91" s="24"/>
      <c r="S91" s="24"/>
      <c r="T91" s="223"/>
    </row>
    <row r="92" spans="2:21" x14ac:dyDescent="0.25">
      <c r="B92" s="219" t="s">
        <v>17</v>
      </c>
      <c r="C92" s="219" t="s">
        <v>18</v>
      </c>
      <c r="D92" s="220" t="s">
        <v>132</v>
      </c>
      <c r="E92" s="232" t="s">
        <v>20</v>
      </c>
      <c r="F92" s="4">
        <v>1</v>
      </c>
      <c r="G92" s="3">
        <v>11237750</v>
      </c>
      <c r="H92" s="76">
        <v>11237750</v>
      </c>
      <c r="I92" s="232" t="s">
        <v>20</v>
      </c>
      <c r="J92" s="4">
        <v>1</v>
      </c>
      <c r="K92" s="3">
        <v>11237750</v>
      </c>
      <c r="L92" s="76">
        <v>11237750</v>
      </c>
      <c r="M92" s="235"/>
      <c r="N92" s="4"/>
      <c r="O92" s="3"/>
      <c r="P92" s="71"/>
      <c r="Q92" s="232"/>
      <c r="R92" s="4"/>
      <c r="S92" s="3"/>
      <c r="T92" s="71"/>
      <c r="U92" s="90" t="s">
        <v>207</v>
      </c>
    </row>
    <row r="93" spans="2:21" x14ac:dyDescent="0.25">
      <c r="B93" s="219" t="s">
        <v>21</v>
      </c>
      <c r="C93" s="219" t="s">
        <v>22</v>
      </c>
      <c r="D93" s="220" t="s">
        <v>133</v>
      </c>
      <c r="E93" s="232"/>
      <c r="F93" s="4"/>
      <c r="G93" s="3"/>
      <c r="H93" s="76"/>
      <c r="I93" s="232"/>
      <c r="J93" s="4"/>
      <c r="K93" s="3"/>
      <c r="L93" s="71"/>
      <c r="M93" s="235"/>
      <c r="N93" s="4"/>
      <c r="O93" s="3"/>
      <c r="P93" s="71"/>
      <c r="Q93" s="232"/>
      <c r="R93" s="4"/>
      <c r="S93" s="3"/>
      <c r="T93" s="71"/>
      <c r="U93" s="90" t="s">
        <v>208</v>
      </c>
    </row>
    <row r="94" spans="2:21" x14ac:dyDescent="0.25">
      <c r="B94" s="219" t="s">
        <v>24</v>
      </c>
      <c r="C94" s="219" t="s">
        <v>25</v>
      </c>
      <c r="D94" s="220" t="s">
        <v>132</v>
      </c>
      <c r="E94" s="232"/>
      <c r="F94" s="4"/>
      <c r="G94" s="3"/>
      <c r="H94" s="76"/>
      <c r="I94" s="232"/>
      <c r="J94" s="4"/>
      <c r="K94" s="3"/>
      <c r="L94" s="71"/>
      <c r="M94" s="235" t="s">
        <v>20</v>
      </c>
      <c r="N94" s="4">
        <v>1</v>
      </c>
      <c r="O94" s="3">
        <v>11237750</v>
      </c>
      <c r="P94" s="76">
        <v>11237750</v>
      </c>
      <c r="Q94" s="232"/>
      <c r="R94" s="4"/>
      <c r="S94" s="3"/>
      <c r="T94" s="71"/>
      <c r="U94" s="90" t="s">
        <v>208</v>
      </c>
    </row>
    <row r="95" spans="2:21" x14ac:dyDescent="0.25">
      <c r="B95" s="219" t="s">
        <v>27</v>
      </c>
      <c r="C95" s="219" t="s">
        <v>28</v>
      </c>
      <c r="D95" s="220" t="s">
        <v>134</v>
      </c>
      <c r="E95" s="232"/>
      <c r="F95" s="4"/>
      <c r="G95" s="3"/>
      <c r="H95" s="76"/>
      <c r="I95" s="232"/>
      <c r="J95" s="4"/>
      <c r="K95" s="3"/>
      <c r="L95" s="71"/>
      <c r="M95" s="235"/>
      <c r="N95" s="4"/>
      <c r="O95" s="3"/>
      <c r="P95" s="71"/>
      <c r="Q95" s="232" t="s">
        <v>20</v>
      </c>
      <c r="R95" s="4">
        <v>1</v>
      </c>
      <c r="S95" s="76">
        <v>14159565.000000002</v>
      </c>
      <c r="T95" s="76">
        <v>14159565.000000002</v>
      </c>
      <c r="U95" s="90" t="s">
        <v>208</v>
      </c>
    </row>
    <row r="96" spans="2:21" x14ac:dyDescent="0.25">
      <c r="B96" s="248"/>
      <c r="C96" s="248">
        <v>18.2</v>
      </c>
      <c r="D96" s="220" t="s">
        <v>135</v>
      </c>
      <c r="E96" s="221"/>
      <c r="F96" s="24"/>
      <c r="G96" s="261"/>
      <c r="H96" s="222"/>
      <c r="I96" s="221"/>
      <c r="J96" s="24"/>
      <c r="K96" s="261"/>
      <c r="L96" s="223"/>
      <c r="M96" s="224"/>
      <c r="N96" s="24"/>
      <c r="O96" s="24"/>
      <c r="P96" s="223"/>
      <c r="Q96" s="221"/>
      <c r="R96" s="24"/>
      <c r="S96" s="24"/>
      <c r="T96" s="223"/>
    </row>
    <row r="97" spans="2:21" x14ac:dyDescent="0.25">
      <c r="B97" s="219" t="s">
        <v>17</v>
      </c>
      <c r="C97" s="219" t="s">
        <v>18</v>
      </c>
      <c r="D97" s="220" t="s">
        <v>136</v>
      </c>
      <c r="E97" s="225" t="s">
        <v>20</v>
      </c>
      <c r="F97" s="96">
        <v>1</v>
      </c>
      <c r="G97" s="3">
        <v>39600000</v>
      </c>
      <c r="H97" s="77">
        <v>39600000</v>
      </c>
      <c r="I97" s="225" t="s">
        <v>20</v>
      </c>
      <c r="J97" s="96">
        <v>1</v>
      </c>
      <c r="K97" s="3">
        <v>39600000</v>
      </c>
      <c r="L97" s="72">
        <v>39600000</v>
      </c>
      <c r="M97" s="228"/>
      <c r="N97" s="96"/>
      <c r="O97" s="3"/>
      <c r="P97" s="72"/>
      <c r="Q97" s="225"/>
      <c r="R97" s="96"/>
      <c r="S97" s="3"/>
      <c r="T97" s="72"/>
      <c r="U97" s="90" t="s">
        <v>172</v>
      </c>
    </row>
    <row r="98" spans="2:21" x14ac:dyDescent="0.25">
      <c r="B98" s="219" t="s">
        <v>21</v>
      </c>
      <c r="C98" s="219" t="s">
        <v>22</v>
      </c>
      <c r="D98" s="220" t="s">
        <v>137</v>
      </c>
      <c r="E98" s="225"/>
      <c r="F98" s="96"/>
      <c r="G98" s="3"/>
      <c r="H98" s="77"/>
      <c r="I98" s="225"/>
      <c r="J98" s="96"/>
      <c r="K98" s="3"/>
      <c r="L98" s="72"/>
      <c r="M98" s="228"/>
      <c r="N98" s="96"/>
      <c r="O98" s="3"/>
      <c r="P98" s="72"/>
      <c r="Q98" s="225"/>
      <c r="R98" s="96"/>
      <c r="S98" s="3"/>
      <c r="T98" s="72"/>
      <c r="U98" s="90" t="s">
        <v>172</v>
      </c>
    </row>
    <row r="99" spans="2:21" x14ac:dyDescent="0.25">
      <c r="B99" s="219" t="s">
        <v>24</v>
      </c>
      <c r="C99" s="219" t="s">
        <v>25</v>
      </c>
      <c r="D99" s="220" t="s">
        <v>138</v>
      </c>
      <c r="E99" s="225"/>
      <c r="F99" s="96"/>
      <c r="G99" s="3"/>
      <c r="H99" s="77"/>
      <c r="I99" s="225"/>
      <c r="J99" s="96"/>
      <c r="K99" s="3"/>
      <c r="L99" s="72"/>
      <c r="M99" s="228" t="s">
        <v>20</v>
      </c>
      <c r="N99" s="96">
        <v>1</v>
      </c>
      <c r="O99" s="3">
        <v>44000000</v>
      </c>
      <c r="P99" s="72">
        <v>44000000</v>
      </c>
      <c r="Q99" s="225"/>
      <c r="R99" s="96"/>
      <c r="S99" s="3"/>
      <c r="T99" s="72"/>
      <c r="U99" s="90" t="s">
        <v>172</v>
      </c>
    </row>
    <row r="100" spans="2:21" x14ac:dyDescent="0.25">
      <c r="B100" s="219" t="s">
        <v>27</v>
      </c>
      <c r="C100" s="219" t="s">
        <v>28</v>
      </c>
      <c r="D100" s="220" t="s">
        <v>132</v>
      </c>
      <c r="E100" s="225"/>
      <c r="F100" s="96"/>
      <c r="G100" s="3"/>
      <c r="H100" s="77"/>
      <c r="I100" s="225"/>
      <c r="J100" s="96"/>
      <c r="K100" s="3"/>
      <c r="L100" s="72"/>
      <c r="M100" s="228"/>
      <c r="N100" s="96"/>
      <c r="O100" s="3"/>
      <c r="P100" s="72"/>
      <c r="Q100" s="225" t="s">
        <v>20</v>
      </c>
      <c r="R100" s="96">
        <v>1</v>
      </c>
      <c r="S100" s="3">
        <v>44000000</v>
      </c>
      <c r="T100" s="72">
        <v>44000000</v>
      </c>
      <c r="U100" s="90" t="s">
        <v>172</v>
      </c>
    </row>
    <row r="101" spans="2:21" ht="15.75" x14ac:dyDescent="0.25">
      <c r="B101" s="262"/>
      <c r="C101" s="262"/>
      <c r="D101" s="256" t="s">
        <v>139</v>
      </c>
      <c r="E101" s="257"/>
      <c r="F101" s="6"/>
      <c r="G101" s="3"/>
      <c r="H101" s="74">
        <v>50837750</v>
      </c>
      <c r="I101" s="257"/>
      <c r="J101" s="6"/>
      <c r="K101" s="3"/>
      <c r="L101" s="69">
        <v>50837750</v>
      </c>
      <c r="M101" s="258"/>
      <c r="N101" s="6"/>
      <c r="O101" s="3"/>
      <c r="P101" s="69">
        <v>55237750</v>
      </c>
      <c r="Q101" s="257"/>
      <c r="R101" s="6"/>
      <c r="S101" s="3"/>
      <c r="T101" s="69">
        <v>58159565</v>
      </c>
    </row>
    <row r="102" spans="2:21" ht="15.75" x14ac:dyDescent="0.25">
      <c r="B102" s="255"/>
      <c r="C102" s="255"/>
      <c r="D102" s="256"/>
      <c r="E102" s="257"/>
      <c r="F102" s="6"/>
      <c r="G102" s="3"/>
      <c r="H102" s="74"/>
      <c r="I102" s="257"/>
      <c r="J102" s="6"/>
      <c r="K102" s="3"/>
      <c r="L102" s="69"/>
      <c r="M102" s="258"/>
      <c r="N102" s="6"/>
      <c r="O102" s="3"/>
      <c r="P102" s="69"/>
      <c r="Q102" s="257"/>
      <c r="R102" s="6"/>
      <c r="S102" s="3"/>
      <c r="T102" s="69"/>
    </row>
    <row r="103" spans="2:21" x14ac:dyDescent="0.25">
      <c r="B103" s="263"/>
      <c r="C103" s="263" t="s">
        <v>140</v>
      </c>
      <c r="D103" s="92" t="s">
        <v>141</v>
      </c>
      <c r="E103" s="264"/>
      <c r="F103" s="15"/>
      <c r="G103" s="3"/>
      <c r="H103" s="91"/>
      <c r="I103" s="264"/>
      <c r="J103" s="15"/>
      <c r="K103" s="3"/>
      <c r="L103" s="265"/>
      <c r="M103" s="93"/>
      <c r="N103" s="15"/>
      <c r="O103" s="3"/>
      <c r="P103" s="265"/>
      <c r="Q103" s="264"/>
      <c r="R103" s="15"/>
      <c r="S103" s="3"/>
      <c r="T103" s="265"/>
    </row>
    <row r="104" spans="2:21" ht="30" customHeight="1" x14ac:dyDescent="0.25">
      <c r="B104" s="266" t="s">
        <v>176</v>
      </c>
      <c r="C104" s="267">
        <v>1</v>
      </c>
      <c r="D104" s="268" t="s">
        <v>142</v>
      </c>
      <c r="E104" s="221" t="s">
        <v>47</v>
      </c>
      <c r="F104" s="24">
        <v>1</v>
      </c>
      <c r="G104" s="3">
        <v>10500000</v>
      </c>
      <c r="H104" s="78">
        <v>10500000</v>
      </c>
      <c r="I104" s="221" t="s">
        <v>47</v>
      </c>
      <c r="J104" s="24">
        <v>1</v>
      </c>
      <c r="K104" s="3">
        <v>10500000</v>
      </c>
      <c r="L104" s="73">
        <v>10500000</v>
      </c>
      <c r="M104" s="224" t="s">
        <v>47</v>
      </c>
      <c r="N104" s="24">
        <v>1</v>
      </c>
      <c r="O104" s="3">
        <v>10500000</v>
      </c>
      <c r="P104" s="73">
        <v>10500000</v>
      </c>
      <c r="Q104" s="221" t="s">
        <v>47</v>
      </c>
      <c r="R104" s="24">
        <v>1</v>
      </c>
      <c r="S104" s="3">
        <v>10500000</v>
      </c>
      <c r="T104" s="73">
        <v>10500000</v>
      </c>
      <c r="U104" s="90" t="s">
        <v>174</v>
      </c>
    </row>
    <row r="105" spans="2:21" x14ac:dyDescent="0.25">
      <c r="B105" s="269"/>
      <c r="C105" s="267">
        <v>2</v>
      </c>
      <c r="D105" s="268" t="s">
        <v>143</v>
      </c>
      <c r="E105" s="221" t="s">
        <v>47</v>
      </c>
      <c r="F105" s="24">
        <v>1</v>
      </c>
      <c r="G105" s="3">
        <v>4000000</v>
      </c>
      <c r="H105" s="78">
        <v>4000000</v>
      </c>
      <c r="I105" s="221" t="s">
        <v>47</v>
      </c>
      <c r="J105" s="24">
        <v>1</v>
      </c>
      <c r="K105" s="3">
        <v>4000000</v>
      </c>
      <c r="L105" s="73">
        <v>4000000</v>
      </c>
      <c r="M105" s="224" t="s">
        <v>47</v>
      </c>
      <c r="N105" s="24">
        <v>1</v>
      </c>
      <c r="O105" s="3">
        <v>4000000</v>
      </c>
      <c r="P105" s="73">
        <v>4000000</v>
      </c>
      <c r="Q105" s="221" t="s">
        <v>47</v>
      </c>
      <c r="R105" s="24">
        <v>1</v>
      </c>
      <c r="S105" s="3">
        <v>4000000</v>
      </c>
      <c r="T105" s="73">
        <v>4000000</v>
      </c>
    </row>
    <row r="106" spans="2:21" x14ac:dyDescent="0.25">
      <c r="B106" s="267"/>
      <c r="C106" s="267">
        <v>3</v>
      </c>
      <c r="D106" s="268" t="s">
        <v>144</v>
      </c>
      <c r="E106" s="221"/>
      <c r="F106" s="24"/>
      <c r="G106" s="261"/>
      <c r="H106" s="222"/>
      <c r="I106" s="221"/>
      <c r="J106" s="24"/>
      <c r="K106" s="261"/>
      <c r="L106" s="223"/>
      <c r="M106" s="224"/>
      <c r="N106" s="24"/>
      <c r="O106" s="24"/>
      <c r="P106" s="223"/>
      <c r="Q106" s="221"/>
      <c r="R106" s="24"/>
      <c r="S106" s="24"/>
      <c r="T106" s="223"/>
    </row>
    <row r="107" spans="2:21" x14ac:dyDescent="0.25">
      <c r="B107" s="219" t="s">
        <v>17</v>
      </c>
      <c r="C107" s="219" t="s">
        <v>18</v>
      </c>
      <c r="D107" s="268" t="s">
        <v>145</v>
      </c>
      <c r="E107" s="221" t="s">
        <v>146</v>
      </c>
      <c r="F107" s="24">
        <v>8</v>
      </c>
      <c r="G107" s="3">
        <v>210000000</v>
      </c>
      <c r="H107" s="78">
        <v>1680000000</v>
      </c>
      <c r="I107" s="221"/>
      <c r="J107" s="24"/>
      <c r="K107" s="3"/>
      <c r="L107" s="73"/>
      <c r="M107" s="224"/>
      <c r="N107" s="24"/>
      <c r="O107" s="3"/>
      <c r="P107" s="73"/>
      <c r="Q107" s="221"/>
      <c r="R107" s="24"/>
      <c r="S107" s="3"/>
      <c r="T107" s="73"/>
      <c r="U107" s="90" t="s">
        <v>174</v>
      </c>
    </row>
    <row r="108" spans="2:21" x14ac:dyDescent="0.25">
      <c r="B108" s="219" t="s">
        <v>21</v>
      </c>
      <c r="C108" s="219" t="s">
        <v>22</v>
      </c>
      <c r="D108" s="268" t="s">
        <v>145</v>
      </c>
      <c r="E108" s="221"/>
      <c r="F108" s="24"/>
      <c r="G108" s="3"/>
      <c r="H108" s="78"/>
      <c r="I108" s="221" t="s">
        <v>146</v>
      </c>
      <c r="J108" s="24">
        <v>8</v>
      </c>
      <c r="K108" s="3">
        <v>210000000</v>
      </c>
      <c r="L108" s="73">
        <v>1680000000</v>
      </c>
      <c r="M108" s="224"/>
      <c r="N108" s="24"/>
      <c r="O108" s="3"/>
      <c r="P108" s="73"/>
      <c r="Q108" s="221"/>
      <c r="R108" s="24"/>
      <c r="S108" s="3"/>
      <c r="T108" s="73"/>
      <c r="U108" s="90" t="s">
        <v>174</v>
      </c>
    </row>
    <row r="109" spans="2:21" x14ac:dyDescent="0.25">
      <c r="B109" s="219" t="s">
        <v>24</v>
      </c>
      <c r="C109" s="219" t="s">
        <v>25</v>
      </c>
      <c r="D109" s="268" t="s">
        <v>147</v>
      </c>
      <c r="E109" s="221"/>
      <c r="F109" s="24"/>
      <c r="G109" s="3"/>
      <c r="H109" s="78"/>
      <c r="I109" s="221"/>
      <c r="J109" s="24"/>
      <c r="K109" s="3"/>
      <c r="L109" s="73"/>
      <c r="M109" s="224" t="s">
        <v>146</v>
      </c>
      <c r="N109" s="24">
        <v>8</v>
      </c>
      <c r="O109" s="3">
        <v>210000000</v>
      </c>
      <c r="P109" s="73">
        <v>1680000000</v>
      </c>
      <c r="Q109" s="221"/>
      <c r="R109" s="24"/>
      <c r="S109" s="3"/>
      <c r="T109" s="73"/>
      <c r="U109" s="90" t="s">
        <v>174</v>
      </c>
    </row>
    <row r="110" spans="2:21" x14ac:dyDescent="0.25">
      <c r="B110" s="219" t="s">
        <v>27</v>
      </c>
      <c r="C110" s="219" t="s">
        <v>28</v>
      </c>
      <c r="D110" s="268" t="s">
        <v>145</v>
      </c>
      <c r="E110" s="221"/>
      <c r="F110" s="24"/>
      <c r="G110" s="3"/>
      <c r="H110" s="78"/>
      <c r="I110" s="221"/>
      <c r="J110" s="24"/>
      <c r="K110" s="3"/>
      <c r="L110" s="73"/>
      <c r="M110" s="224"/>
      <c r="N110" s="24"/>
      <c r="O110" s="3"/>
      <c r="P110" s="73"/>
      <c r="Q110" s="221" t="s">
        <v>146</v>
      </c>
      <c r="R110" s="24">
        <v>8</v>
      </c>
      <c r="S110" s="3">
        <v>210000000</v>
      </c>
      <c r="T110" s="73">
        <v>1680000000</v>
      </c>
      <c r="U110" s="90" t="s">
        <v>174</v>
      </c>
    </row>
    <row r="111" spans="2:21" ht="60" x14ac:dyDescent="0.25">
      <c r="B111" s="267" t="s">
        <v>175</v>
      </c>
      <c r="C111" s="267">
        <v>4</v>
      </c>
      <c r="D111" s="268" t="s">
        <v>148</v>
      </c>
      <c r="E111" s="221" t="s">
        <v>47</v>
      </c>
      <c r="F111" s="24">
        <v>1</v>
      </c>
      <c r="G111" s="3">
        <v>1800000</v>
      </c>
      <c r="H111" s="78">
        <v>1800000</v>
      </c>
      <c r="I111" s="221" t="s">
        <v>47</v>
      </c>
      <c r="J111" s="24">
        <v>1</v>
      </c>
      <c r="K111" s="3">
        <v>1800000</v>
      </c>
      <c r="L111" s="73">
        <v>1800000</v>
      </c>
      <c r="M111" s="224" t="s">
        <v>47</v>
      </c>
      <c r="N111" s="24">
        <v>1</v>
      </c>
      <c r="O111" s="3">
        <v>1800000</v>
      </c>
      <c r="P111" s="73">
        <v>1800000</v>
      </c>
      <c r="Q111" s="221" t="s">
        <v>47</v>
      </c>
      <c r="R111" s="24">
        <v>1</v>
      </c>
      <c r="S111" s="3">
        <v>1800000</v>
      </c>
      <c r="T111" s="73">
        <v>1800000</v>
      </c>
    </row>
    <row r="112" spans="2:21" x14ac:dyDescent="0.25">
      <c r="B112" s="267"/>
      <c r="C112" s="267">
        <v>5</v>
      </c>
      <c r="D112" s="268" t="s">
        <v>149</v>
      </c>
      <c r="E112" s="221"/>
      <c r="F112" s="24"/>
      <c r="G112" s="24"/>
      <c r="H112" s="222"/>
      <c r="I112" s="221"/>
      <c r="J112" s="24"/>
      <c r="K112" s="24"/>
      <c r="L112" s="223"/>
      <c r="M112" s="224"/>
      <c r="N112" s="24"/>
      <c r="O112" s="24"/>
      <c r="P112" s="223"/>
      <c r="Q112" s="221"/>
      <c r="R112" s="24"/>
      <c r="S112" s="24"/>
      <c r="T112" s="223"/>
    </row>
    <row r="113" spans="2:21" ht="30" x14ac:dyDescent="0.25">
      <c r="B113" s="219" t="s">
        <v>17</v>
      </c>
      <c r="C113" s="219" t="s">
        <v>18</v>
      </c>
      <c r="D113" s="268" t="s">
        <v>150</v>
      </c>
      <c r="E113" s="221" t="s">
        <v>50</v>
      </c>
      <c r="F113" s="24">
        <v>1</v>
      </c>
      <c r="G113" s="3">
        <v>21739355.774685413</v>
      </c>
      <c r="H113" s="78">
        <v>21739355.774685413</v>
      </c>
      <c r="I113" s="221" t="s">
        <v>50</v>
      </c>
      <c r="J113" s="24">
        <v>1</v>
      </c>
      <c r="K113" s="3">
        <v>21739355.774685413</v>
      </c>
      <c r="L113" s="73">
        <v>21739355.774685413</v>
      </c>
      <c r="M113" s="224"/>
      <c r="N113" s="24"/>
      <c r="O113" s="3"/>
      <c r="P113" s="73"/>
      <c r="Q113" s="221"/>
      <c r="R113" s="24"/>
      <c r="S113" s="3"/>
      <c r="T113" s="73"/>
      <c r="U113" s="90" t="s">
        <v>173</v>
      </c>
    </row>
    <row r="114" spans="2:21" ht="30" x14ac:dyDescent="0.25">
      <c r="B114" s="219" t="s">
        <v>21</v>
      </c>
      <c r="C114" s="219" t="s">
        <v>22</v>
      </c>
      <c r="D114" s="268" t="s">
        <v>150</v>
      </c>
      <c r="E114" s="221"/>
      <c r="F114" s="24"/>
      <c r="G114" s="3"/>
      <c r="H114" s="78"/>
      <c r="I114" s="221"/>
      <c r="J114" s="24"/>
      <c r="K114" s="3"/>
      <c r="L114" s="73"/>
      <c r="M114" s="224"/>
      <c r="N114" s="24"/>
      <c r="O114" s="3"/>
      <c r="P114" s="73"/>
      <c r="Q114" s="221"/>
      <c r="R114" s="24"/>
      <c r="S114" s="3"/>
      <c r="T114" s="73"/>
      <c r="U114" s="90" t="s">
        <v>173</v>
      </c>
    </row>
    <row r="115" spans="2:21" ht="30" x14ac:dyDescent="0.25">
      <c r="B115" s="219" t="s">
        <v>24</v>
      </c>
      <c r="C115" s="219" t="s">
        <v>25</v>
      </c>
      <c r="D115" s="268" t="s">
        <v>150</v>
      </c>
      <c r="E115" s="221"/>
      <c r="F115" s="24"/>
      <c r="G115" s="3"/>
      <c r="H115" s="78"/>
      <c r="I115" s="221"/>
      <c r="J115" s="24"/>
      <c r="K115" s="3"/>
      <c r="L115" s="73"/>
      <c r="M115" s="224" t="s">
        <v>50</v>
      </c>
      <c r="N115" s="24">
        <v>1</v>
      </c>
      <c r="O115" s="3">
        <v>20986113.973041009</v>
      </c>
      <c r="P115" s="73">
        <v>20986113.973041009</v>
      </c>
      <c r="Q115" s="221"/>
      <c r="R115" s="24"/>
      <c r="S115" s="3"/>
      <c r="T115" s="73"/>
      <c r="U115" s="90" t="s">
        <v>173</v>
      </c>
    </row>
    <row r="116" spans="2:21" ht="30" x14ac:dyDescent="0.25">
      <c r="B116" s="219" t="s">
        <v>27</v>
      </c>
      <c r="C116" s="219" t="s">
        <v>28</v>
      </c>
      <c r="D116" s="268" t="s">
        <v>150</v>
      </c>
      <c r="E116" s="221"/>
      <c r="F116" s="24"/>
      <c r="G116" s="3"/>
      <c r="H116" s="78"/>
      <c r="I116" s="221"/>
      <c r="J116" s="24"/>
      <c r="K116" s="3"/>
      <c r="L116" s="73"/>
      <c r="M116" s="224"/>
      <c r="N116" s="24"/>
      <c r="O116" s="3"/>
      <c r="P116" s="73"/>
      <c r="Q116" s="221" t="s">
        <v>50</v>
      </c>
      <c r="R116" s="24">
        <v>1</v>
      </c>
      <c r="S116" s="3">
        <v>21837416.738961995</v>
      </c>
      <c r="T116" s="73">
        <v>21837416.738961995</v>
      </c>
      <c r="U116" s="90" t="s">
        <v>173</v>
      </c>
    </row>
    <row r="117" spans="2:21" x14ac:dyDescent="0.25">
      <c r="B117" s="340" t="s">
        <v>165</v>
      </c>
      <c r="C117" s="267">
        <v>6</v>
      </c>
      <c r="D117" s="268" t="s">
        <v>151</v>
      </c>
      <c r="E117" s="221" t="s">
        <v>50</v>
      </c>
      <c r="F117" s="24">
        <v>1</v>
      </c>
      <c r="G117" s="3">
        <v>275000</v>
      </c>
      <c r="H117" s="78">
        <v>275000</v>
      </c>
      <c r="I117" s="221" t="s">
        <v>50</v>
      </c>
      <c r="J117" s="24">
        <v>1</v>
      </c>
      <c r="K117" s="3">
        <v>275000</v>
      </c>
      <c r="L117" s="73">
        <v>275000</v>
      </c>
      <c r="M117" s="224" t="s">
        <v>50</v>
      </c>
      <c r="N117" s="24">
        <v>1</v>
      </c>
      <c r="O117" s="3">
        <v>275000</v>
      </c>
      <c r="P117" s="73">
        <v>275000</v>
      </c>
      <c r="Q117" s="221" t="s">
        <v>50</v>
      </c>
      <c r="R117" s="24">
        <v>1</v>
      </c>
      <c r="S117" s="3">
        <v>275000</v>
      </c>
      <c r="T117" s="73">
        <v>275000</v>
      </c>
    </row>
    <row r="118" spans="2:21" x14ac:dyDescent="0.25">
      <c r="B118" s="341"/>
      <c r="C118" s="267">
        <v>7</v>
      </c>
      <c r="D118" s="268" t="s">
        <v>152</v>
      </c>
      <c r="E118" s="221" t="s">
        <v>50</v>
      </c>
      <c r="F118" s="24">
        <v>1</v>
      </c>
      <c r="G118" s="3">
        <v>575000</v>
      </c>
      <c r="H118" s="78">
        <v>575000</v>
      </c>
      <c r="I118" s="221" t="s">
        <v>50</v>
      </c>
      <c r="J118" s="24">
        <v>1</v>
      </c>
      <c r="K118" s="3">
        <v>575000</v>
      </c>
      <c r="L118" s="73">
        <v>575000</v>
      </c>
      <c r="M118" s="224" t="s">
        <v>50</v>
      </c>
      <c r="N118" s="24">
        <v>1</v>
      </c>
      <c r="O118" s="3">
        <v>575000</v>
      </c>
      <c r="P118" s="73">
        <v>575000</v>
      </c>
      <c r="Q118" s="221" t="s">
        <v>50</v>
      </c>
      <c r="R118" s="24">
        <v>1</v>
      </c>
      <c r="S118" s="3">
        <v>575000</v>
      </c>
      <c r="T118" s="73">
        <v>575000</v>
      </c>
    </row>
    <row r="119" spans="2:21" x14ac:dyDescent="0.25">
      <c r="B119" s="341"/>
      <c r="C119" s="267">
        <v>8</v>
      </c>
      <c r="D119" s="268" t="s">
        <v>153</v>
      </c>
      <c r="E119" s="221" t="s">
        <v>50</v>
      </c>
      <c r="F119" s="24">
        <v>1</v>
      </c>
      <c r="G119" s="3">
        <v>300000</v>
      </c>
      <c r="H119" s="78">
        <v>300000</v>
      </c>
      <c r="I119" s="221" t="s">
        <v>50</v>
      </c>
      <c r="J119" s="24">
        <v>1</v>
      </c>
      <c r="K119" s="3">
        <v>300000</v>
      </c>
      <c r="L119" s="73">
        <v>300000</v>
      </c>
      <c r="M119" s="224" t="s">
        <v>50</v>
      </c>
      <c r="N119" s="24">
        <v>1</v>
      </c>
      <c r="O119" s="3">
        <v>300000</v>
      </c>
      <c r="P119" s="73">
        <v>300000</v>
      </c>
      <c r="Q119" s="221" t="s">
        <v>50</v>
      </c>
      <c r="R119" s="24">
        <v>1</v>
      </c>
      <c r="S119" s="3">
        <v>12411870.8369481</v>
      </c>
      <c r="T119" s="73">
        <v>12411870.8369481</v>
      </c>
    </row>
    <row r="120" spans="2:21" x14ac:dyDescent="0.25">
      <c r="B120" s="341"/>
      <c r="C120" s="267">
        <v>9</v>
      </c>
      <c r="D120" s="268" t="s">
        <v>154</v>
      </c>
      <c r="E120" s="221" t="s">
        <v>50</v>
      </c>
      <c r="F120" s="24">
        <v>1</v>
      </c>
      <c r="G120" s="3">
        <v>12421967.788734272</v>
      </c>
      <c r="H120" s="78">
        <v>12421967.788734272</v>
      </c>
      <c r="I120" s="221" t="s">
        <v>50</v>
      </c>
      <c r="J120" s="24">
        <v>1</v>
      </c>
      <c r="K120" s="3">
        <v>12421967.788734272</v>
      </c>
      <c r="L120" s="73">
        <v>12421967.788734272</v>
      </c>
      <c r="M120" s="224" t="s">
        <v>50</v>
      </c>
      <c r="N120" s="24">
        <v>1</v>
      </c>
      <c r="O120" s="3">
        <v>12384305.698652051</v>
      </c>
      <c r="P120" s="73">
        <v>12384305.698652051</v>
      </c>
      <c r="Q120" s="221" t="s">
        <v>50</v>
      </c>
      <c r="R120" s="24">
        <v>1</v>
      </c>
      <c r="S120" s="3">
        <v>6250000</v>
      </c>
      <c r="T120" s="73">
        <v>6250000</v>
      </c>
    </row>
    <row r="121" spans="2:21" x14ac:dyDescent="0.25">
      <c r="B121" s="341"/>
      <c r="C121" s="267">
        <v>10</v>
      </c>
      <c r="D121" s="268" t="s">
        <v>155</v>
      </c>
      <c r="E121" s="221" t="s">
        <v>50</v>
      </c>
      <c r="F121" s="24">
        <v>1</v>
      </c>
      <c r="G121" s="3">
        <v>400000</v>
      </c>
      <c r="H121" s="78">
        <v>400000</v>
      </c>
      <c r="I121" s="221" t="s">
        <v>50</v>
      </c>
      <c r="J121" s="24">
        <v>1</v>
      </c>
      <c r="K121" s="3">
        <v>400000</v>
      </c>
      <c r="L121" s="73">
        <v>400000</v>
      </c>
      <c r="M121" s="224" t="s">
        <v>50</v>
      </c>
      <c r="N121" s="24">
        <v>1</v>
      </c>
      <c r="O121" s="3">
        <v>400000</v>
      </c>
      <c r="P121" s="73">
        <v>400000</v>
      </c>
      <c r="Q121" s="221" t="s">
        <v>50</v>
      </c>
      <c r="R121" s="24">
        <v>1</v>
      </c>
      <c r="S121" s="3">
        <v>400000</v>
      </c>
      <c r="T121" s="73">
        <v>400000</v>
      </c>
    </row>
    <row r="122" spans="2:21" x14ac:dyDescent="0.25">
      <c r="B122" s="341"/>
      <c r="C122" s="267">
        <v>11</v>
      </c>
      <c r="D122" s="268" t="s">
        <v>156</v>
      </c>
      <c r="E122" s="221" t="s">
        <v>50</v>
      </c>
      <c r="F122" s="24">
        <v>1</v>
      </c>
      <c r="G122" s="3">
        <v>500000</v>
      </c>
      <c r="H122" s="78">
        <v>500000</v>
      </c>
      <c r="I122" s="221" t="s">
        <v>50</v>
      </c>
      <c r="J122" s="24">
        <v>1</v>
      </c>
      <c r="K122" s="3">
        <v>500000</v>
      </c>
      <c r="L122" s="73">
        <v>500000</v>
      </c>
      <c r="M122" s="224" t="s">
        <v>50</v>
      </c>
      <c r="N122" s="24">
        <v>1</v>
      </c>
      <c r="O122" s="3">
        <v>500000</v>
      </c>
      <c r="P122" s="73">
        <v>500000</v>
      </c>
      <c r="Q122" s="221" t="s">
        <v>50</v>
      </c>
      <c r="R122" s="24">
        <v>1</v>
      </c>
      <c r="S122" s="3">
        <v>500000</v>
      </c>
      <c r="T122" s="73">
        <v>500000</v>
      </c>
    </row>
    <row r="123" spans="2:21" x14ac:dyDescent="0.25">
      <c r="B123" s="341"/>
      <c r="C123" s="267">
        <v>12</v>
      </c>
      <c r="D123" s="268" t="s">
        <v>157</v>
      </c>
      <c r="E123" s="221" t="s">
        <v>50</v>
      </c>
      <c r="F123" s="24">
        <v>1</v>
      </c>
      <c r="G123" s="3">
        <v>250000</v>
      </c>
      <c r="H123" s="78">
        <v>250000</v>
      </c>
      <c r="I123" s="221" t="s">
        <v>50</v>
      </c>
      <c r="J123" s="24">
        <v>1</v>
      </c>
      <c r="K123" s="3">
        <v>250000</v>
      </c>
      <c r="L123" s="73">
        <v>250000</v>
      </c>
      <c r="M123" s="224" t="s">
        <v>50</v>
      </c>
      <c r="N123" s="24">
        <v>1</v>
      </c>
      <c r="O123" s="3">
        <v>250000</v>
      </c>
      <c r="P123" s="73">
        <v>250000</v>
      </c>
      <c r="Q123" s="221" t="s">
        <v>50</v>
      </c>
      <c r="R123" s="24">
        <v>1</v>
      </c>
      <c r="S123" s="3">
        <v>250000</v>
      </c>
      <c r="T123" s="73">
        <v>250000</v>
      </c>
    </row>
    <row r="124" spans="2:21" x14ac:dyDescent="0.25">
      <c r="B124" s="341"/>
      <c r="C124" s="267">
        <v>13</v>
      </c>
      <c r="D124" s="268" t="s">
        <v>158</v>
      </c>
      <c r="E124" s="221" t="s">
        <v>47</v>
      </c>
      <c r="F124" s="24">
        <v>1</v>
      </c>
      <c r="G124" s="3">
        <v>600000</v>
      </c>
      <c r="H124" s="78">
        <v>600000</v>
      </c>
      <c r="I124" s="221" t="s">
        <v>47</v>
      </c>
      <c r="J124" s="24">
        <v>1</v>
      </c>
      <c r="K124" s="3">
        <v>600000</v>
      </c>
      <c r="L124" s="73">
        <v>600000</v>
      </c>
      <c r="M124" s="224" t="s">
        <v>47</v>
      </c>
      <c r="N124" s="24">
        <v>1</v>
      </c>
      <c r="O124" s="3">
        <v>600000</v>
      </c>
      <c r="P124" s="73">
        <v>600000</v>
      </c>
      <c r="Q124" s="221" t="s">
        <v>47</v>
      </c>
      <c r="R124" s="24">
        <v>1</v>
      </c>
      <c r="S124" s="3">
        <v>600000</v>
      </c>
      <c r="T124" s="73">
        <v>600000</v>
      </c>
    </row>
    <row r="125" spans="2:21" x14ac:dyDescent="0.25">
      <c r="B125" s="342"/>
      <c r="C125" s="267">
        <v>14</v>
      </c>
      <c r="D125" s="268" t="s">
        <v>159</v>
      </c>
      <c r="E125" s="221" t="s">
        <v>50</v>
      </c>
      <c r="F125" s="24">
        <v>1</v>
      </c>
      <c r="G125" s="3">
        <v>425000</v>
      </c>
      <c r="H125" s="78">
        <v>425000</v>
      </c>
      <c r="I125" s="221" t="s">
        <v>50</v>
      </c>
      <c r="J125" s="24">
        <v>1</v>
      </c>
      <c r="K125" s="3">
        <v>425000</v>
      </c>
      <c r="L125" s="73">
        <v>425000</v>
      </c>
      <c r="M125" s="224" t="s">
        <v>50</v>
      </c>
      <c r="N125" s="24">
        <v>1</v>
      </c>
      <c r="O125" s="3">
        <v>425000</v>
      </c>
      <c r="P125" s="73">
        <v>425000</v>
      </c>
      <c r="Q125" s="221" t="s">
        <v>50</v>
      </c>
      <c r="R125" s="24">
        <v>1</v>
      </c>
      <c r="S125" s="3">
        <v>425000</v>
      </c>
      <c r="T125" s="73">
        <v>425000</v>
      </c>
    </row>
    <row r="126" spans="2:21" ht="15.75" x14ac:dyDescent="0.25">
      <c r="B126" s="263"/>
      <c r="C126" s="263"/>
      <c r="D126" s="270" t="s">
        <v>160</v>
      </c>
      <c r="E126" s="271"/>
      <c r="F126" s="60"/>
      <c r="G126" s="272"/>
      <c r="H126" s="273">
        <v>1733786323.5634196</v>
      </c>
      <c r="I126" s="271"/>
      <c r="J126" s="60"/>
      <c r="K126" s="272"/>
      <c r="L126" s="274">
        <v>1733786323.5634196</v>
      </c>
      <c r="M126" s="275"/>
      <c r="N126" s="60"/>
      <c r="O126" s="272"/>
      <c r="P126" s="274">
        <v>1732995419.6716931</v>
      </c>
      <c r="Q126" s="271"/>
      <c r="R126" s="60"/>
      <c r="S126" s="272"/>
      <c r="T126" s="274">
        <v>1739824287.5759101</v>
      </c>
    </row>
    <row r="127" spans="2:21" ht="15.75" x14ac:dyDescent="0.25">
      <c r="B127" s="263"/>
      <c r="C127" s="263"/>
      <c r="D127" s="270"/>
      <c r="E127" s="271"/>
      <c r="F127" s="60"/>
      <c r="G127" s="272"/>
      <c r="H127" s="273"/>
      <c r="I127" s="271"/>
      <c r="J127" s="60"/>
      <c r="K127" s="272"/>
      <c r="L127" s="274"/>
      <c r="M127" s="275"/>
      <c r="N127" s="60"/>
      <c r="O127" s="272"/>
      <c r="P127" s="274"/>
      <c r="Q127" s="271"/>
      <c r="R127" s="60"/>
      <c r="S127" s="272"/>
      <c r="T127" s="274"/>
    </row>
    <row r="128" spans="2:21" ht="47.25" x14ac:dyDescent="0.25">
      <c r="B128" s="263"/>
      <c r="C128" s="263" t="s">
        <v>161</v>
      </c>
      <c r="D128" s="276" t="s">
        <v>162</v>
      </c>
      <c r="E128" s="271" t="s">
        <v>225</v>
      </c>
      <c r="F128" s="60">
        <v>19600</v>
      </c>
      <c r="G128" s="277">
        <v>10000</v>
      </c>
      <c r="H128" s="273">
        <v>196000000</v>
      </c>
      <c r="I128" s="271" t="s">
        <v>225</v>
      </c>
      <c r="J128" s="60">
        <v>19600</v>
      </c>
      <c r="K128" s="277">
        <v>10000</v>
      </c>
      <c r="L128" s="274">
        <v>196000000</v>
      </c>
      <c r="M128" s="275" t="s">
        <v>225</v>
      </c>
      <c r="N128" s="60">
        <v>19600</v>
      </c>
      <c r="O128" s="277">
        <v>10000</v>
      </c>
      <c r="P128" s="274">
        <v>196000000</v>
      </c>
      <c r="Q128" s="271" t="s">
        <v>225</v>
      </c>
      <c r="R128" s="60">
        <v>19600</v>
      </c>
      <c r="S128" s="277">
        <v>10000</v>
      </c>
      <c r="T128" s="274">
        <v>196000000</v>
      </c>
    </row>
    <row r="129" spans="1:21" ht="15.75" thickBot="1" x14ac:dyDescent="0.3">
      <c r="B129" s="278"/>
      <c r="C129" s="278"/>
      <c r="D129" s="279"/>
      <c r="E129" s="280"/>
      <c r="F129" s="281"/>
      <c r="G129" s="282"/>
      <c r="H129" s="283"/>
      <c r="I129" s="280"/>
      <c r="J129" s="281"/>
      <c r="K129" s="282"/>
      <c r="L129" s="284"/>
      <c r="M129" s="285"/>
      <c r="N129" s="281"/>
      <c r="O129" s="282"/>
      <c r="P129" s="284"/>
      <c r="Q129" s="286"/>
      <c r="R129" s="287"/>
      <c r="S129" s="288"/>
      <c r="T129" s="289"/>
    </row>
    <row r="130" spans="1:21" ht="21.75" thickBot="1" x14ac:dyDescent="0.3">
      <c r="B130" s="290"/>
      <c r="C130" s="290"/>
      <c r="D130" s="291" t="s">
        <v>164</v>
      </c>
      <c r="E130" s="292"/>
      <c r="F130" s="292"/>
      <c r="G130" s="205"/>
      <c r="H130" s="293">
        <v>2189052356.3108196</v>
      </c>
      <c r="I130" s="294"/>
      <c r="J130" s="292"/>
      <c r="K130" s="205"/>
      <c r="L130" s="295">
        <v>2285225359.9871197</v>
      </c>
      <c r="M130" s="292"/>
      <c r="N130" s="292"/>
      <c r="O130" s="205"/>
      <c r="P130" s="295">
        <v>2331918692.413393</v>
      </c>
      <c r="Q130" s="296"/>
      <c r="R130" s="297"/>
      <c r="S130" s="205"/>
      <c r="T130" s="295">
        <v>2287739299.33111</v>
      </c>
    </row>
    <row r="132" spans="1:21" x14ac:dyDescent="0.25">
      <c r="A132" s="90" t="s">
        <v>276</v>
      </c>
      <c r="B132" s="299" t="s">
        <v>285</v>
      </c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</row>
  </sheetData>
  <mergeCells count="24">
    <mergeCell ref="B117:B125"/>
    <mergeCell ref="E85:E86"/>
    <mergeCell ref="F85:F86"/>
    <mergeCell ref="I2:L2"/>
    <mergeCell ref="K85:K86"/>
    <mergeCell ref="L85:L86"/>
    <mergeCell ref="C85:C86"/>
    <mergeCell ref="B11:B90"/>
    <mergeCell ref="B132:U132"/>
    <mergeCell ref="Q85:Q86"/>
    <mergeCell ref="M85:M86"/>
    <mergeCell ref="R85:R86"/>
    <mergeCell ref="Q2:T2"/>
    <mergeCell ref="S85:S86"/>
    <mergeCell ref="T85:T86"/>
    <mergeCell ref="P85:P86"/>
    <mergeCell ref="M2:P2"/>
    <mergeCell ref="N85:N86"/>
    <mergeCell ref="O85:O86"/>
    <mergeCell ref="E2:H2"/>
    <mergeCell ref="G85:G86"/>
    <mergeCell ref="H85:H86"/>
    <mergeCell ref="I85:I86"/>
    <mergeCell ref="J85:J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</vt:lpstr>
      <vt:lpstr>TL DC MOOSE</vt:lpstr>
      <vt:lpstr>SUMMARY</vt:lpstr>
      <vt:lpstr>Link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Kshitij</dc:creator>
  <cp:keywords/>
  <dc:description/>
  <cp:lastModifiedBy>Swapnali S</cp:lastModifiedBy>
  <cp:revision/>
  <dcterms:created xsi:type="dcterms:W3CDTF">2015-06-05T18:17:20Z</dcterms:created>
  <dcterms:modified xsi:type="dcterms:W3CDTF">2026-02-11T07:14:43Z</dcterms:modified>
  <cp:category/>
  <cp:contentStatus/>
</cp:coreProperties>
</file>